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8_{2CAD1AAB-E0F1-4918-8454-B47391174F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DT" sheetId="1" r:id="rId1"/>
    <sheet name="Calculo de costo " sheetId="2" r:id="rId2"/>
    <sheet name="Carta gantt " sheetId="4" r:id="rId3"/>
    <sheet name="Formato EDT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N13" i="1" l="1"/>
  <c r="N15" i="1" s="1"/>
  <c r="N16" i="1" s="1"/>
  <c r="J19" i="1" l="1"/>
  <c r="N18" i="1"/>
  <c r="J18" i="1"/>
  <c r="J20" i="1"/>
  <c r="I23" i="1"/>
  <c r="J23" i="1" l="1"/>
  <c r="C9" i="2" l="1"/>
  <c r="C11" i="2" s="1"/>
  <c r="C12" i="2" s="1"/>
</calcChain>
</file>

<file path=xl/sharedStrings.xml><?xml version="1.0" encoding="utf-8"?>
<sst xmlns="http://schemas.openxmlformats.org/spreadsheetml/2006/main" count="232" uniqueCount="151">
  <si>
    <t>EDT - Planilla Estructura de descomposición de tareas</t>
  </si>
  <si>
    <t>Fase de Planificación</t>
  </si>
  <si>
    <t>Fase de Análisis y diseño</t>
  </si>
  <si>
    <t>Fase de Desarrollo</t>
  </si>
  <si>
    <t>Fase de implementación y cierre</t>
  </si>
  <si>
    <t>DIAS</t>
  </si>
  <si>
    <t>HORAS POR ACTIVIDAD O ENTREGABLE</t>
  </si>
  <si>
    <t>Kick Off</t>
  </si>
  <si>
    <t>Acta de Constitución de proyecto</t>
  </si>
  <si>
    <t>Aprobación del Acta</t>
  </si>
  <si>
    <t>Definición de requerimientos Generales del proyecto</t>
  </si>
  <si>
    <t>Organización del equipo</t>
  </si>
  <si>
    <t>DICCIONARIO EDT</t>
  </si>
  <si>
    <t>ROL ACTOR</t>
  </si>
  <si>
    <t>NOMBRE ACTOR</t>
  </si>
  <si>
    <t>Captura de requerimientos específicos</t>
  </si>
  <si>
    <t>Análisis de requerimientos</t>
  </si>
  <si>
    <t>Diseño de la solución. Modelamientos</t>
  </si>
  <si>
    <t>Propuesta ERS</t>
  </si>
  <si>
    <t>Implementación ambiente de desarrollo</t>
  </si>
  <si>
    <t>Integración del sistema</t>
  </si>
  <si>
    <t>Pruebas de integración</t>
  </si>
  <si>
    <t>Migración del sistema a producción</t>
  </si>
  <si>
    <t>Pruebas de integración final</t>
  </si>
  <si>
    <t>Marcha blanca</t>
  </si>
  <si>
    <t>Capacitación</t>
  </si>
  <si>
    <t>Cierre de proyecto</t>
  </si>
  <si>
    <t>Siglas</t>
  </si>
  <si>
    <t xml:space="preserve">Horas </t>
  </si>
  <si>
    <t>Cargo</t>
  </si>
  <si>
    <t>Total horas</t>
  </si>
  <si>
    <t>Totales</t>
  </si>
  <si>
    <t xml:space="preserve">Bono de colacion </t>
  </si>
  <si>
    <t>Bono locomocion</t>
  </si>
  <si>
    <t>Sueldo Liquido</t>
  </si>
  <si>
    <t xml:space="preserve">Equipacion </t>
  </si>
  <si>
    <t>Plan celular</t>
  </si>
  <si>
    <t xml:space="preserve">Nota: Ya esta incluidos los descuentos legales </t>
  </si>
  <si>
    <t xml:space="preserve">Total </t>
  </si>
  <si>
    <t xml:space="preserve">Sueldo por ingeniero mes </t>
  </si>
  <si>
    <t>Sueldo dia</t>
  </si>
  <si>
    <t xml:space="preserve">Valor hora </t>
  </si>
  <si>
    <t>AFP</t>
  </si>
  <si>
    <t>SALUD</t>
  </si>
  <si>
    <t>Costo por hora</t>
  </si>
  <si>
    <t xml:space="preserve">Días </t>
  </si>
  <si>
    <t>Sueldo día</t>
  </si>
  <si>
    <t xml:space="preserve">Bono de colación </t>
  </si>
  <si>
    <t>Bono locomoción</t>
  </si>
  <si>
    <t xml:space="preserve">Equitación </t>
  </si>
  <si>
    <t>N°</t>
  </si>
  <si>
    <t xml:space="preserve">Costo  total proyecto </t>
  </si>
  <si>
    <t xml:space="preserve">Pruebas funcionamiento de servidor y software reporte </t>
  </si>
  <si>
    <t xml:space="preserve">Configuración de módulos del software </t>
  </si>
  <si>
    <t xml:space="preserve">Creación de base de datos </t>
  </si>
  <si>
    <t xml:space="preserve">Integración de software de ejecución de reportes </t>
  </si>
  <si>
    <t xml:space="preserve">Instalación de servidor </t>
  </si>
  <si>
    <t xml:space="preserve">Configuración de impresoras </t>
  </si>
  <si>
    <t xml:space="preserve">Pruebas configuración de software y base datos </t>
  </si>
  <si>
    <t>Pruebas de configuración de impresora</t>
  </si>
  <si>
    <t>Totales en tiempo del proyecto</t>
  </si>
  <si>
    <t>Actividades/semanas</t>
  </si>
  <si>
    <t>Planificacion software "FDA"</t>
  </si>
  <si>
    <t>1.1</t>
  </si>
  <si>
    <t>1.2</t>
  </si>
  <si>
    <t>1.3</t>
  </si>
  <si>
    <t>1.4</t>
  </si>
  <si>
    <t>1.5</t>
  </si>
  <si>
    <t>1.0</t>
  </si>
  <si>
    <t>2.0</t>
  </si>
  <si>
    <t>2.1</t>
  </si>
  <si>
    <t>2.2</t>
  </si>
  <si>
    <t>2.3</t>
  </si>
  <si>
    <t>2.4</t>
  </si>
  <si>
    <t>3.0</t>
  </si>
  <si>
    <t>3.1</t>
  </si>
  <si>
    <t>3.2</t>
  </si>
  <si>
    <t>3.3</t>
  </si>
  <si>
    <t>3.4</t>
  </si>
  <si>
    <t>3.5</t>
  </si>
  <si>
    <t>3.6</t>
  </si>
  <si>
    <t>3.7</t>
  </si>
  <si>
    <t>4.0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</si>
  <si>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</si>
  <si>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</si>
  <si>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</si>
  <si>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</si>
  <si>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</si>
  <si>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</si>
  <si>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</si>
  <si>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</si>
  <si>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</si>
  <si>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Actividades de gestión de proyectos</t>
  </si>
  <si>
    <t/>
  </si>
  <si>
    <t>Carta del proyecto</t>
  </si>
  <si>
    <t>Plan de gestión de proyectos</t>
  </si>
  <si>
    <t>Actividades de monitoreo/control</t>
  </si>
  <si>
    <t>Actividades de gestión de UP completadas</t>
  </si>
  <si>
    <t>Iniciación/Planificación</t>
  </si>
  <si>
    <t>Estudio de factibilidad</t>
  </si>
  <si>
    <t>Caso de negocios</t>
  </si>
  <si>
    <t>Planificación de proyectos</t>
  </si>
  <si>
    <t>Iniciación/Actividades de planificación completadas</t>
  </si>
  <si>
    <t>Recopilación de requisitos</t>
  </si>
  <si>
    <t>Planificación de seguridad</t>
  </si>
  <si>
    <t>Análisis de requisitos completado</t>
  </si>
  <si>
    <t>Diseño</t>
  </si>
  <si>
    <t>Diseño de alto nivel</t>
  </si>
  <si>
    <t>Prueba de concepto</t>
  </si>
  <si>
    <t>Diseño detallado</t>
  </si>
  <si>
    <t>Especificación técnica</t>
  </si>
  <si>
    <t>Diseño completado</t>
  </si>
  <si>
    <t>Desarrollo</t>
  </si>
  <si>
    <t>Construir/Desarrollar</t>
  </si>
  <si>
    <t>Planificación de integración</t>
  </si>
  <si>
    <t>Documentación</t>
  </si>
  <si>
    <t>Planificación de prueba</t>
  </si>
  <si>
    <t>Planificación de implementación</t>
  </si>
  <si>
    <t>Planificación de entrenamiento</t>
  </si>
  <si>
    <t>Planificación de la Continuidad del Negocio</t>
  </si>
  <si>
    <t>Planificación de transición</t>
  </si>
  <si>
    <t>Desarrollo completado</t>
  </si>
  <si>
    <t>Preguntas y Respuestas</t>
  </si>
  <si>
    <t>Prueba de unidad</t>
  </si>
  <si>
    <t>Prueba de funcionamiento</t>
  </si>
  <si>
    <t>Examen de integración</t>
  </si>
  <si>
    <t>Prueba de regresión</t>
  </si>
  <si>
    <t>Prueba del sistema</t>
  </si>
  <si>
    <t>Prueba de aceptación del usuario</t>
  </si>
  <si>
    <t>Prueba completada</t>
  </si>
  <si>
    <t>Implementación</t>
  </si>
  <si>
    <t>Despliegue</t>
  </si>
  <si>
    <t>Formación</t>
  </si>
  <si>
    <t>Soporte</t>
  </si>
  <si>
    <t>Desarrollo/Implementación completada</t>
  </si>
  <si>
    <t>Operaciones y mantenimiento</t>
  </si>
  <si>
    <t>Actividades de operaciones</t>
  </si>
  <si>
    <t>Actividades de mantenimiento</t>
  </si>
  <si>
    <t>Operaciones y mantenimiento completado</t>
  </si>
  <si>
    <t>Disposición</t>
  </si>
  <si>
    <t>Archivo</t>
  </si>
  <si>
    <t>Proyecto completado</t>
  </si>
  <si>
    <t>GG</t>
  </si>
  <si>
    <t>Gabriel Muñoz</t>
  </si>
  <si>
    <t>Giovanni Diaz</t>
  </si>
  <si>
    <t>Kevin Pinochet</t>
  </si>
  <si>
    <t>DG</t>
  </si>
  <si>
    <t>Gerente general</t>
  </si>
  <si>
    <t>Analista en Informatica</t>
  </si>
  <si>
    <t>Diseñador grafico</t>
  </si>
  <si>
    <t>AEI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</si>
</sst>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2CE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2" borderId="1" xfId="0" applyFill="1" applyBorder="1"/>
    <xf numFmtId="1" fontId="0" fillId="0" borderId="0" xfId="0" applyNumberFormat="1"/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3" fillId="0" borderId="1" xfId="0" applyFont="1" applyBorder="1"/>
    <xf numFmtId="165" fontId="4" fillId="0" borderId="1" xfId="1" applyNumberFormat="1" applyFont="1" applyBorder="1"/>
    <xf numFmtId="165" fontId="3" fillId="0" borderId="1" xfId="1" applyNumberFormat="1" applyFont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165" fontId="3" fillId="0" borderId="1" xfId="0" applyNumberFormat="1" applyFont="1" applyBorder="1"/>
    <xf numFmtId="165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2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165" fontId="0" fillId="6" borderId="1" xfId="1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165" fontId="3" fillId="6" borderId="1" xfId="1" applyNumberFormat="1" applyFont="1" applyFill="1" applyBorder="1" applyAlignment="1">
      <alignment horizontal="right" vertical="center"/>
    </xf>
    <xf numFmtId="0" fontId="0" fillId="0" borderId="3" xfId="0" applyBorder="1"/>
    <xf numFmtId="0" fontId="0" fillId="6" borderId="3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6" borderId="6" xfId="0" applyFill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wrapText="1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0" xfId="0" applyFont="1"/>
    <xf numFmtId="3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72CE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181DD67-964E-4078-B928-AACFE40A25C0}" type="doc">
      <dgm:prSet loTypeId="urn:microsoft.com/office/officeart/2005/8/layout/orgChart1" loCatId="hierarchy" qsTypeId="urn:microsoft.com/office/officeart/2005/8/quickstyle/3d2" qsCatId="3D" csTypeId="urn:microsoft.com/office/officeart/2005/8/colors/accent1_2" csCatId="accent1" phldr="1"/>
      <dgm:spPr/>
      <dgm:t>
        <a:bodyPr/>
        <a:lstStyle/>
        <a:p>
          <a:endParaRPr lang="es-CL"/>
        </a:p>
      </dgm:t>
    </dgm:pt>
    <dgm:pt modelId="{EE8E4861-C3ED-486D-ACD5-2470781CB6BE}" type="asst">
      <dgm:prSet phldrT="[Texto]" custT="1"/>
      <dgm:spPr>
        <a:solidFill>
          <a:srgbClr val="92D050"/>
        </a:solidFill>
      </dgm:spPr>
      <dgm:t>
        <a:bodyPr/>
        <a:lstStyle/>
        <a:p>
          <a:r>
            <a:rPr lang="es-CL" sz="1000" b="1"/>
            <a:t>Produccion de software </a:t>
          </a:r>
        </a:p>
      </dgm:t>
    </dgm:pt>
    <dgm:pt modelId="{CADB8DA8-3FEC-4F43-80A2-E2669CA56C05}" type="parTrans" cxnId="{AA27E425-3BFE-4AA3-89A4-B7986D1D5CFA}">
      <dgm:prSet/>
      <dgm:spPr/>
      <dgm:t>
        <a:bodyPr/>
        <a:lstStyle/>
        <a:p>
          <a:endParaRPr lang="es-CL"/>
        </a:p>
      </dgm:t>
    </dgm:pt>
    <dgm:pt modelId="{2F9DC07F-F16F-4A58-8802-E1258D40D7D6}" type="sibTrans" cxnId="{AA27E425-3BFE-4AA3-89A4-B7986D1D5CFA}">
      <dgm:prSet/>
      <dgm:spPr/>
      <dgm:t>
        <a:bodyPr/>
        <a:lstStyle/>
        <a:p>
          <a:endParaRPr lang="es-CL"/>
        </a:p>
      </dgm:t>
    </dgm:pt>
    <dgm:pt modelId="{379637A1-6C0A-486E-B690-4E34205BD7EA}">
      <dgm:prSet phldrT="[Texto]" custT="1"/>
      <dgm:spPr>
        <a:solidFill>
          <a:schemeClr val="accent2"/>
        </a:solidFill>
      </dgm:spPr>
      <dgm:t>
        <a:bodyPr/>
        <a:lstStyle/>
        <a:p>
          <a:r>
            <a:rPr lang="es-CL" sz="1000" b="1"/>
            <a:t>Fase de planificacion  </a:t>
          </a:r>
        </a:p>
      </dgm:t>
    </dgm:pt>
    <dgm:pt modelId="{B62E018E-6D26-442C-A88E-FC4137FC36AA}" type="parTrans" cxnId="{36FCCCC5-3D99-49F6-918D-5D36E4C656C6}">
      <dgm:prSet/>
      <dgm:spPr/>
      <dgm:t>
        <a:bodyPr/>
        <a:lstStyle/>
        <a:p>
          <a:endParaRPr lang="es-CL"/>
        </a:p>
      </dgm:t>
    </dgm:pt>
    <dgm:pt modelId="{36F9AB60-3326-4F64-9E92-FB6B694C3585}" type="sibTrans" cxnId="{36FCCCC5-3D99-49F6-918D-5D36E4C656C6}">
      <dgm:prSet/>
      <dgm:spPr/>
      <dgm:t>
        <a:bodyPr/>
        <a:lstStyle/>
        <a:p>
          <a:endParaRPr lang="es-CL"/>
        </a:p>
      </dgm:t>
    </dgm:pt>
    <dgm:pt modelId="{1C19BCB7-44BC-4A40-AAB7-CBEF59B22E71}">
      <dgm:prSet phldrT="[Texto]" custT="1"/>
      <dgm:spPr>
        <a:solidFill>
          <a:schemeClr val="accent2"/>
        </a:solidFill>
      </dgm:spPr>
      <dgm:t>
        <a:bodyPr/>
        <a:lstStyle/>
        <a:p>
          <a:r>
            <a:rPr lang="es-CL" sz="1000" b="1"/>
            <a:t>Fase de analisis y diseño </a:t>
          </a:r>
        </a:p>
      </dgm:t>
    </dgm:pt>
    <dgm:pt modelId="{7C18ADF6-7D4A-4E3F-BB28-11393995E91F}" type="parTrans" cxnId="{89926A18-39DA-4A55-BF13-D82F8D957DD2}">
      <dgm:prSet/>
      <dgm:spPr/>
      <dgm:t>
        <a:bodyPr/>
        <a:lstStyle/>
        <a:p>
          <a:endParaRPr lang="es-CL"/>
        </a:p>
      </dgm:t>
    </dgm:pt>
    <dgm:pt modelId="{8E50C124-2C8B-4CEF-8EEC-52D9724071DC}" type="sibTrans" cxnId="{89926A18-39DA-4A55-BF13-D82F8D957DD2}">
      <dgm:prSet/>
      <dgm:spPr/>
      <dgm:t>
        <a:bodyPr/>
        <a:lstStyle/>
        <a:p>
          <a:endParaRPr lang="es-CL"/>
        </a:p>
      </dgm:t>
    </dgm:pt>
    <dgm:pt modelId="{68B30F11-1BC9-4DC6-9534-2716DC6551F2}">
      <dgm:prSet phldrT="[Texto]" custT="1"/>
      <dgm:spPr>
        <a:solidFill>
          <a:schemeClr val="accent2"/>
        </a:solidFill>
      </dgm:spPr>
      <dgm:t>
        <a:bodyPr/>
        <a:lstStyle/>
        <a:p>
          <a:r>
            <a:rPr lang="es-CL" sz="1000" b="1"/>
            <a:t>Fase de desarrollo </a:t>
          </a:r>
        </a:p>
      </dgm:t>
    </dgm:pt>
    <dgm:pt modelId="{9C1E2A02-74EA-4ADF-88F5-2A3B20540F82}" type="parTrans" cxnId="{6D76A983-234F-46F3-84A6-268F9D36D5C4}">
      <dgm:prSet/>
      <dgm:spPr/>
      <dgm:t>
        <a:bodyPr/>
        <a:lstStyle/>
        <a:p>
          <a:endParaRPr lang="es-CL"/>
        </a:p>
      </dgm:t>
    </dgm:pt>
    <dgm:pt modelId="{CB5DB30B-2330-48D8-95A3-320246A5062E}" type="sibTrans" cxnId="{6D76A983-234F-46F3-84A6-268F9D36D5C4}">
      <dgm:prSet/>
      <dgm:spPr/>
      <dgm:t>
        <a:bodyPr/>
        <a:lstStyle/>
        <a:p>
          <a:endParaRPr lang="es-CL"/>
        </a:p>
      </dgm:t>
    </dgm:pt>
    <dgm:pt modelId="{4443D19A-4504-49D1-8F89-961966A6DF8F}">
      <dgm:prSet custT="1"/>
      <dgm:spPr>
        <a:solidFill>
          <a:schemeClr val="accent2"/>
        </a:solidFill>
      </dgm:spPr>
      <dgm:t>
        <a:bodyPr/>
        <a:lstStyle/>
        <a:p>
          <a:r>
            <a:rPr lang="es-CL" sz="1000" b="1"/>
            <a:t>Fase de implementacion y cierre </a:t>
          </a:r>
        </a:p>
      </dgm:t>
    </dgm:pt>
    <dgm:pt modelId="{507BDAA5-5D60-4C15-B40F-17ED2A2009A3}" type="parTrans" cxnId="{ADF8C006-F0AF-47F0-B8D4-D9872AE6CA2A}">
      <dgm:prSet/>
      <dgm:spPr/>
      <dgm:t>
        <a:bodyPr/>
        <a:lstStyle/>
        <a:p>
          <a:endParaRPr lang="es-CL"/>
        </a:p>
      </dgm:t>
    </dgm:pt>
    <dgm:pt modelId="{B24C3552-F101-4B04-963D-7A5446E362A6}" type="sibTrans" cxnId="{ADF8C006-F0AF-47F0-B8D4-D9872AE6CA2A}">
      <dgm:prSet/>
      <dgm:spPr/>
      <dgm:t>
        <a:bodyPr/>
        <a:lstStyle/>
        <a:p>
          <a:endParaRPr lang="es-CL"/>
        </a:p>
      </dgm:t>
    </dgm:pt>
    <dgm:pt modelId="{F457AA1A-FC01-4017-9D2E-D901E23CC1DD}">
      <dgm:prSet custT="1"/>
      <dgm:spPr/>
      <dgm:t>
        <a:bodyPr/>
        <a:lstStyle/>
        <a:p>
          <a:r>
            <a:rPr lang="es-CL" sz="1000" b="1"/>
            <a:t>Planificacion</a:t>
          </a:r>
          <a:r>
            <a:rPr lang="es-CL" sz="1000"/>
            <a:t> </a:t>
          </a:r>
        </a:p>
      </dgm:t>
    </dgm:pt>
    <dgm:pt modelId="{78CCC3D6-DB53-40B8-A895-2ED306B40325}" type="parTrans" cxnId="{26A3B6CE-CA30-4E2D-9B2C-677B3B431056}">
      <dgm:prSet/>
      <dgm:spPr/>
      <dgm:t>
        <a:bodyPr/>
        <a:lstStyle/>
        <a:p>
          <a:endParaRPr lang="es-CL"/>
        </a:p>
      </dgm:t>
    </dgm:pt>
    <dgm:pt modelId="{D2312A09-AA15-41C3-9DD6-FA4B0AC9BA0B}" type="sibTrans" cxnId="{26A3B6CE-CA30-4E2D-9B2C-677B3B431056}">
      <dgm:prSet/>
      <dgm:spPr/>
      <dgm:t>
        <a:bodyPr/>
        <a:lstStyle/>
        <a:p>
          <a:endParaRPr lang="es-CL"/>
        </a:p>
      </dgm:t>
    </dgm:pt>
    <dgm:pt modelId="{8444E147-2180-4B40-8FA0-8898DF3A00CA}">
      <dgm:prSet custT="1"/>
      <dgm:spPr/>
      <dgm:t>
        <a:bodyPr/>
        <a:lstStyle/>
        <a:p>
          <a:r>
            <a:rPr lang="es-CL" sz="1000" b="1"/>
            <a:t>Reuniones</a:t>
          </a:r>
          <a:r>
            <a:rPr lang="es-CL" sz="1000"/>
            <a:t> </a:t>
          </a:r>
        </a:p>
      </dgm:t>
    </dgm:pt>
    <dgm:pt modelId="{F76BB486-653A-43C1-B18E-1C91D0C8997A}" type="parTrans" cxnId="{8AE64F24-B41B-4D6D-9550-45077FD87135}">
      <dgm:prSet/>
      <dgm:spPr/>
      <dgm:t>
        <a:bodyPr/>
        <a:lstStyle/>
        <a:p>
          <a:endParaRPr lang="es-CL"/>
        </a:p>
      </dgm:t>
    </dgm:pt>
    <dgm:pt modelId="{EA2F14F0-7B9D-43E8-86A4-2B7FDC03AE1E}" type="sibTrans" cxnId="{8AE64F24-B41B-4D6D-9550-45077FD87135}">
      <dgm:prSet/>
      <dgm:spPr/>
      <dgm:t>
        <a:bodyPr/>
        <a:lstStyle/>
        <a:p>
          <a:endParaRPr lang="es-CL"/>
        </a:p>
      </dgm:t>
    </dgm:pt>
    <dgm:pt modelId="{59CA719F-02C6-4A92-A150-7439A3038EF9}">
      <dgm:prSet custT="1"/>
      <dgm:spPr/>
      <dgm:t>
        <a:bodyPr/>
        <a:lstStyle/>
        <a:p>
          <a:r>
            <a:rPr lang="es-CL" sz="1000" b="1"/>
            <a:t>Administracion</a:t>
          </a:r>
          <a:r>
            <a:rPr lang="es-CL" sz="1000"/>
            <a:t> </a:t>
          </a:r>
        </a:p>
      </dgm:t>
    </dgm:pt>
    <dgm:pt modelId="{D193966E-613E-49FF-AC77-F631E86E5074}" type="parTrans" cxnId="{5C0E1AA3-FBA4-4041-93EA-912CD436938D}">
      <dgm:prSet/>
      <dgm:spPr/>
      <dgm:t>
        <a:bodyPr/>
        <a:lstStyle/>
        <a:p>
          <a:endParaRPr lang="es-CL"/>
        </a:p>
      </dgm:t>
    </dgm:pt>
    <dgm:pt modelId="{F05D3EAE-E788-4AED-8137-A7B7621EDAEA}" type="sibTrans" cxnId="{5C0E1AA3-FBA4-4041-93EA-912CD436938D}">
      <dgm:prSet/>
      <dgm:spPr/>
      <dgm:t>
        <a:bodyPr/>
        <a:lstStyle/>
        <a:p>
          <a:endParaRPr lang="es-CL"/>
        </a:p>
      </dgm:t>
    </dgm:pt>
    <dgm:pt modelId="{10FECBC0-26B1-4704-B627-57CB76A83C3E}">
      <dgm:prSet custT="1"/>
      <dgm:spPr/>
      <dgm:t>
        <a:bodyPr/>
        <a:lstStyle/>
        <a:p>
          <a:r>
            <a:rPr lang="es-CL" sz="1000" b="1"/>
            <a:t>Captura de requerimiento</a:t>
          </a:r>
        </a:p>
      </dgm:t>
    </dgm:pt>
    <dgm:pt modelId="{29456C04-F344-4F67-B341-B7EB85DD1B9C}" type="parTrans" cxnId="{61C1781C-506C-459B-9E59-C84E914BFA63}">
      <dgm:prSet/>
      <dgm:spPr/>
      <dgm:t>
        <a:bodyPr/>
        <a:lstStyle/>
        <a:p>
          <a:endParaRPr lang="es-CL"/>
        </a:p>
      </dgm:t>
    </dgm:pt>
    <dgm:pt modelId="{BBF2B39E-4F34-49BB-AB1B-3E310B8525E5}" type="sibTrans" cxnId="{61C1781C-506C-459B-9E59-C84E914BFA63}">
      <dgm:prSet/>
      <dgm:spPr/>
      <dgm:t>
        <a:bodyPr/>
        <a:lstStyle/>
        <a:p>
          <a:endParaRPr lang="es-CL"/>
        </a:p>
      </dgm:t>
    </dgm:pt>
    <dgm:pt modelId="{A95CF817-D95B-4022-A09F-A7A724243C30}">
      <dgm:prSet custT="1"/>
      <dgm:spPr/>
      <dgm:t>
        <a:bodyPr/>
        <a:lstStyle/>
        <a:p>
          <a:r>
            <a:rPr lang="es-CL" sz="1000" b="1"/>
            <a:t>Diseño de soluciones y modelamiento</a:t>
          </a:r>
          <a:endParaRPr lang="es-CL" b="1"/>
        </a:p>
      </dgm:t>
    </dgm:pt>
    <dgm:pt modelId="{E2F99618-1324-4869-A305-C8AD7DB94EBC}" type="parTrans" cxnId="{9CC3D733-B644-4B20-B7FA-947CF7E6C075}">
      <dgm:prSet/>
      <dgm:spPr/>
      <dgm:t>
        <a:bodyPr/>
        <a:lstStyle/>
        <a:p>
          <a:endParaRPr lang="es-CL"/>
        </a:p>
      </dgm:t>
    </dgm:pt>
    <dgm:pt modelId="{231BE64A-4912-4710-B7F0-1F12AA82C4CC}" type="sibTrans" cxnId="{9CC3D733-B644-4B20-B7FA-947CF7E6C075}">
      <dgm:prSet/>
      <dgm:spPr/>
      <dgm:t>
        <a:bodyPr/>
        <a:lstStyle/>
        <a:p>
          <a:endParaRPr lang="es-CL"/>
        </a:p>
      </dgm:t>
    </dgm:pt>
    <dgm:pt modelId="{3F246069-1707-4D60-8155-96BE0C60F0F3}">
      <dgm:prSet custT="1"/>
      <dgm:spPr/>
      <dgm:t>
        <a:bodyPr/>
        <a:lstStyle/>
        <a:p>
          <a:r>
            <a:rPr lang="es-CL" sz="1000" b="1"/>
            <a:t>Propuesta ERS</a:t>
          </a:r>
        </a:p>
      </dgm:t>
    </dgm:pt>
    <dgm:pt modelId="{A6CE334C-7D40-44F0-978B-BD5C3D531A3C}" type="parTrans" cxnId="{6740BA9E-8D80-48E2-BB80-0D98A0F9D1AC}">
      <dgm:prSet/>
      <dgm:spPr/>
      <dgm:t>
        <a:bodyPr/>
        <a:lstStyle/>
        <a:p>
          <a:endParaRPr lang="es-CL"/>
        </a:p>
      </dgm:t>
    </dgm:pt>
    <dgm:pt modelId="{33F54189-A312-45FC-880B-FF689C550DB9}" type="sibTrans" cxnId="{6740BA9E-8D80-48E2-BB80-0D98A0F9D1AC}">
      <dgm:prSet/>
      <dgm:spPr/>
      <dgm:t>
        <a:bodyPr/>
        <a:lstStyle/>
        <a:p>
          <a:endParaRPr lang="es-CL"/>
        </a:p>
      </dgm:t>
    </dgm:pt>
    <dgm:pt modelId="{1EFC52AD-F9D0-4AAE-8117-F949D35E0FCA}">
      <dgm:prSet custT="1"/>
      <dgm:spPr/>
      <dgm:t>
        <a:bodyPr/>
        <a:lstStyle/>
        <a:p>
          <a:r>
            <a:rPr lang="es-CL" sz="1000" b="1"/>
            <a:t>Implementacion ambiente desarrollo </a:t>
          </a:r>
        </a:p>
      </dgm:t>
    </dgm:pt>
    <dgm:pt modelId="{52801D01-F22E-4FB7-9834-A949775C873E}" type="parTrans" cxnId="{2B0E25BC-FCA4-4611-8F69-342FBE9EB6A1}">
      <dgm:prSet/>
      <dgm:spPr/>
      <dgm:t>
        <a:bodyPr/>
        <a:lstStyle/>
        <a:p>
          <a:endParaRPr lang="es-CL"/>
        </a:p>
      </dgm:t>
    </dgm:pt>
    <dgm:pt modelId="{00B106AD-8F5E-4590-8353-2A4AAE45FB89}" type="sibTrans" cxnId="{2B0E25BC-FCA4-4611-8F69-342FBE9EB6A1}">
      <dgm:prSet/>
      <dgm:spPr/>
      <dgm:t>
        <a:bodyPr/>
        <a:lstStyle/>
        <a:p>
          <a:endParaRPr lang="es-CL"/>
        </a:p>
      </dgm:t>
    </dgm:pt>
    <dgm:pt modelId="{56AF2CE4-AC21-4438-A55E-408418920F4F}">
      <dgm:prSet custT="1"/>
      <dgm:spPr/>
      <dgm:t>
        <a:bodyPr/>
        <a:lstStyle/>
        <a:p>
          <a:r>
            <a:rPr lang="es-CL" sz="1000" b="1"/>
            <a:t>Creacion de base datos </a:t>
          </a:r>
        </a:p>
      </dgm:t>
    </dgm:pt>
    <dgm:pt modelId="{B0AAFD5E-83F5-48D2-AAF4-1E067628F8FD}" type="parTrans" cxnId="{343DFB01-469C-4FA7-B4BF-818B8880D365}">
      <dgm:prSet/>
      <dgm:spPr/>
      <dgm:t>
        <a:bodyPr/>
        <a:lstStyle/>
        <a:p>
          <a:endParaRPr lang="es-CL"/>
        </a:p>
      </dgm:t>
    </dgm:pt>
    <dgm:pt modelId="{29479E0F-77B2-4E73-A731-8631B1767B93}" type="sibTrans" cxnId="{343DFB01-469C-4FA7-B4BF-818B8880D365}">
      <dgm:prSet/>
      <dgm:spPr/>
      <dgm:t>
        <a:bodyPr/>
        <a:lstStyle/>
        <a:p>
          <a:endParaRPr lang="es-CL"/>
        </a:p>
      </dgm:t>
    </dgm:pt>
    <dgm:pt modelId="{D0D67D20-C4D0-46F0-B95D-00FD34CE9305}">
      <dgm:prSet custT="1"/>
      <dgm:spPr/>
      <dgm:t>
        <a:bodyPr/>
        <a:lstStyle/>
        <a:p>
          <a:r>
            <a:rPr lang="es-CL" sz="1000" b="1"/>
            <a:t>Configuraciones del aplicativo </a:t>
          </a:r>
        </a:p>
      </dgm:t>
    </dgm:pt>
    <dgm:pt modelId="{AF7CABD1-B362-409A-9396-DF9557EF23E3}" type="parTrans" cxnId="{848AED78-17F6-4198-8D42-29EC98A3534E}">
      <dgm:prSet/>
      <dgm:spPr/>
      <dgm:t>
        <a:bodyPr/>
        <a:lstStyle/>
        <a:p>
          <a:endParaRPr lang="es-CL"/>
        </a:p>
      </dgm:t>
    </dgm:pt>
    <dgm:pt modelId="{574E29AE-EBBB-4D52-AF30-869A98959E0A}" type="sibTrans" cxnId="{848AED78-17F6-4198-8D42-29EC98A3534E}">
      <dgm:prSet/>
      <dgm:spPr/>
      <dgm:t>
        <a:bodyPr/>
        <a:lstStyle/>
        <a:p>
          <a:endParaRPr lang="es-CL"/>
        </a:p>
      </dgm:t>
    </dgm:pt>
    <dgm:pt modelId="{17C57E96-7CD9-4C03-B3A1-F1D032890ABD}">
      <dgm:prSet custT="1"/>
      <dgm:spPr/>
      <dgm:t>
        <a:bodyPr/>
        <a:lstStyle/>
        <a:p>
          <a:r>
            <a:rPr lang="es-CL" sz="1000" b="1"/>
            <a:t>Prueba de configuraciones del aplicativo </a:t>
          </a:r>
        </a:p>
      </dgm:t>
    </dgm:pt>
    <dgm:pt modelId="{69EB26BF-1E2B-4DD8-851E-7D6BEE344023}" type="parTrans" cxnId="{3D061411-05CF-492B-9B12-2C973851A20B}">
      <dgm:prSet/>
      <dgm:spPr/>
      <dgm:t>
        <a:bodyPr/>
        <a:lstStyle/>
        <a:p>
          <a:endParaRPr lang="es-CL"/>
        </a:p>
      </dgm:t>
    </dgm:pt>
    <dgm:pt modelId="{9B3525B1-87F5-4C01-A611-B24C2DC62AD1}" type="sibTrans" cxnId="{3D061411-05CF-492B-9B12-2C973851A20B}">
      <dgm:prSet/>
      <dgm:spPr/>
      <dgm:t>
        <a:bodyPr/>
        <a:lstStyle/>
        <a:p>
          <a:endParaRPr lang="es-CL"/>
        </a:p>
      </dgm:t>
    </dgm:pt>
    <dgm:pt modelId="{FF605BF2-5191-4099-8062-9516A4F5706D}">
      <dgm:prSet custT="1"/>
      <dgm:spPr/>
      <dgm:t>
        <a:bodyPr/>
        <a:lstStyle/>
        <a:p>
          <a:r>
            <a:rPr lang="es-CL" sz="1000" b="1"/>
            <a:t>Migracion  y marcha blanca del software en productivo </a:t>
          </a:r>
        </a:p>
      </dgm:t>
    </dgm:pt>
    <dgm:pt modelId="{3F2ABC22-06C2-4B2C-A642-2B75E427B632}" type="parTrans" cxnId="{EDB23636-0DD2-4DBF-82D8-0B1AF7A326C7}">
      <dgm:prSet/>
      <dgm:spPr/>
      <dgm:t>
        <a:bodyPr/>
        <a:lstStyle/>
        <a:p>
          <a:endParaRPr lang="es-CL"/>
        </a:p>
      </dgm:t>
    </dgm:pt>
    <dgm:pt modelId="{934D92B5-5E90-4FA5-9098-071303B18392}" type="sibTrans" cxnId="{EDB23636-0DD2-4DBF-82D8-0B1AF7A326C7}">
      <dgm:prSet/>
      <dgm:spPr/>
      <dgm:t>
        <a:bodyPr/>
        <a:lstStyle/>
        <a:p>
          <a:endParaRPr lang="es-CL"/>
        </a:p>
      </dgm:t>
    </dgm:pt>
    <dgm:pt modelId="{09E63166-A391-45F7-9CF5-20DD422D3672}">
      <dgm:prSet custT="1"/>
      <dgm:spPr/>
      <dgm:t>
        <a:bodyPr/>
        <a:lstStyle/>
        <a:p>
          <a:r>
            <a:rPr lang="es-CL" sz="1000" b="1"/>
            <a:t>Capacitacion al usuario final</a:t>
          </a:r>
        </a:p>
      </dgm:t>
    </dgm:pt>
    <dgm:pt modelId="{8A3C6B0B-65B0-4837-B9F8-A8ED6DE48A60}" type="parTrans" cxnId="{CBC0D3DB-8F0C-4AF6-B1A1-F7D537DC6044}">
      <dgm:prSet/>
      <dgm:spPr/>
      <dgm:t>
        <a:bodyPr/>
        <a:lstStyle/>
        <a:p>
          <a:endParaRPr lang="es-CL"/>
        </a:p>
      </dgm:t>
    </dgm:pt>
    <dgm:pt modelId="{8BBA6162-D402-4720-8289-0EF01F4605D0}" type="sibTrans" cxnId="{CBC0D3DB-8F0C-4AF6-B1A1-F7D537DC6044}">
      <dgm:prSet/>
      <dgm:spPr/>
      <dgm:t>
        <a:bodyPr/>
        <a:lstStyle/>
        <a:p>
          <a:endParaRPr lang="es-CL"/>
        </a:p>
      </dgm:t>
    </dgm:pt>
    <dgm:pt modelId="{A055D5C0-12C1-4AC9-A509-84204F85DF40}">
      <dgm:prSet custT="1"/>
      <dgm:spPr/>
      <dgm:t>
        <a:bodyPr/>
        <a:lstStyle/>
        <a:p>
          <a:r>
            <a:rPr lang="es-CL" sz="1000" b="1"/>
            <a:t>Cierre proyecto</a:t>
          </a:r>
        </a:p>
      </dgm:t>
    </dgm:pt>
    <dgm:pt modelId="{97757D7F-5258-42DF-90BF-960EB9300BC0}" type="parTrans" cxnId="{930737A8-314A-447A-879B-61CC3C1CABD4}">
      <dgm:prSet/>
      <dgm:spPr/>
      <dgm:t>
        <a:bodyPr/>
        <a:lstStyle/>
        <a:p>
          <a:endParaRPr lang="es-CL"/>
        </a:p>
      </dgm:t>
    </dgm:pt>
    <dgm:pt modelId="{A6674964-C64F-4DDC-8C16-F10C03C5252D}" type="sibTrans" cxnId="{930737A8-314A-447A-879B-61CC3C1CABD4}">
      <dgm:prSet/>
      <dgm:spPr/>
      <dgm:t>
        <a:bodyPr/>
        <a:lstStyle/>
        <a:p>
          <a:endParaRPr lang="es-CL"/>
        </a:p>
      </dgm:t>
    </dgm:pt>
    <dgm:pt modelId="{DFC19704-1EBE-404D-A622-2148BA913DCF}" type="pres">
      <dgm:prSet presAssocID="{A181DD67-964E-4078-B928-AACFE40A25C0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B05E131F-5D33-415D-9EF7-418F76DD0E1C}" type="pres">
      <dgm:prSet presAssocID="{EE8E4861-C3ED-486D-ACD5-2470781CB6BE}" presName="hierRoot1" presStyleCnt="0">
        <dgm:presLayoutVars>
          <dgm:hierBranch val="init"/>
        </dgm:presLayoutVars>
      </dgm:prSet>
      <dgm:spPr/>
    </dgm:pt>
    <dgm:pt modelId="{491CFBC8-6028-4A97-944A-44FEBE670D2E}" type="pres">
      <dgm:prSet presAssocID="{EE8E4861-C3ED-486D-ACD5-2470781CB6BE}" presName="rootComposite1" presStyleCnt="0"/>
      <dgm:spPr/>
    </dgm:pt>
    <dgm:pt modelId="{F45ADA7D-C4FC-429F-9342-E958DF243FAC}" type="pres">
      <dgm:prSet presAssocID="{EE8E4861-C3ED-486D-ACD5-2470781CB6BE}" presName="rootText1" presStyleLbl="node0" presStyleIdx="0" presStyleCnt="1" custLinFactNeighborX="7779" custLinFactNeighborY="-1881">
        <dgm:presLayoutVars>
          <dgm:chPref val="3"/>
        </dgm:presLayoutVars>
      </dgm:prSet>
      <dgm:spPr/>
    </dgm:pt>
    <dgm:pt modelId="{79B95A52-87B4-4FDC-AA7D-16A86F1EC09D}" type="pres">
      <dgm:prSet presAssocID="{EE8E4861-C3ED-486D-ACD5-2470781CB6BE}" presName="rootConnector1" presStyleLbl="asst0" presStyleIdx="0" presStyleCnt="0"/>
      <dgm:spPr/>
    </dgm:pt>
    <dgm:pt modelId="{28F60EDE-E65E-4771-AA05-88F9B6DE7C36}" type="pres">
      <dgm:prSet presAssocID="{EE8E4861-C3ED-486D-ACD5-2470781CB6BE}" presName="hierChild2" presStyleCnt="0"/>
      <dgm:spPr/>
    </dgm:pt>
    <dgm:pt modelId="{68099FBE-9D5C-4F69-AF82-B0EA51AA9AEF}" type="pres">
      <dgm:prSet presAssocID="{B62E018E-6D26-442C-A88E-FC4137FC36AA}" presName="Name37" presStyleLbl="parChTrans1D2" presStyleIdx="0" presStyleCnt="4"/>
      <dgm:spPr/>
    </dgm:pt>
    <dgm:pt modelId="{089A77D7-36D1-4C58-834D-03235670F285}" type="pres">
      <dgm:prSet presAssocID="{379637A1-6C0A-486E-B690-4E34205BD7EA}" presName="hierRoot2" presStyleCnt="0">
        <dgm:presLayoutVars>
          <dgm:hierBranch val="init"/>
        </dgm:presLayoutVars>
      </dgm:prSet>
      <dgm:spPr/>
    </dgm:pt>
    <dgm:pt modelId="{0C3025F5-3EF8-4124-B9CE-2691AF656F74}" type="pres">
      <dgm:prSet presAssocID="{379637A1-6C0A-486E-B690-4E34205BD7EA}" presName="rootComposite" presStyleCnt="0"/>
      <dgm:spPr/>
    </dgm:pt>
    <dgm:pt modelId="{6EBF5634-1998-4312-82E8-5B0A2CCB0086}" type="pres">
      <dgm:prSet presAssocID="{379637A1-6C0A-486E-B690-4E34205BD7EA}" presName="rootText" presStyleLbl="node2" presStyleIdx="0" presStyleCnt="4">
        <dgm:presLayoutVars>
          <dgm:chPref val="3"/>
        </dgm:presLayoutVars>
      </dgm:prSet>
      <dgm:spPr/>
    </dgm:pt>
    <dgm:pt modelId="{5C2C835C-5399-4D2B-BA72-40F1C2E0B644}" type="pres">
      <dgm:prSet presAssocID="{379637A1-6C0A-486E-B690-4E34205BD7EA}" presName="rootConnector" presStyleLbl="node2" presStyleIdx="0" presStyleCnt="4"/>
      <dgm:spPr/>
    </dgm:pt>
    <dgm:pt modelId="{6B9357A5-E44C-4D53-AE77-219EA0456E74}" type="pres">
      <dgm:prSet presAssocID="{379637A1-6C0A-486E-B690-4E34205BD7EA}" presName="hierChild4" presStyleCnt="0"/>
      <dgm:spPr/>
    </dgm:pt>
    <dgm:pt modelId="{2574D187-7C90-49B5-836B-EB21E4E3B4FA}" type="pres">
      <dgm:prSet presAssocID="{78CCC3D6-DB53-40B8-A895-2ED306B40325}" presName="Name37" presStyleLbl="parChTrans1D3" presStyleIdx="0" presStyleCnt="4"/>
      <dgm:spPr/>
    </dgm:pt>
    <dgm:pt modelId="{360349E8-29EA-48D6-AE19-80295E397082}" type="pres">
      <dgm:prSet presAssocID="{F457AA1A-FC01-4017-9D2E-D901E23CC1DD}" presName="hierRoot2" presStyleCnt="0">
        <dgm:presLayoutVars>
          <dgm:hierBranch val="init"/>
        </dgm:presLayoutVars>
      </dgm:prSet>
      <dgm:spPr/>
    </dgm:pt>
    <dgm:pt modelId="{818428C3-DCF1-4662-8587-F29561F94A7B}" type="pres">
      <dgm:prSet presAssocID="{F457AA1A-FC01-4017-9D2E-D901E23CC1DD}" presName="rootComposite" presStyleCnt="0"/>
      <dgm:spPr/>
    </dgm:pt>
    <dgm:pt modelId="{907369D2-5C97-4C24-8361-700BA9639EE4}" type="pres">
      <dgm:prSet presAssocID="{F457AA1A-FC01-4017-9D2E-D901E23CC1DD}" presName="rootText" presStyleLbl="node3" presStyleIdx="0" presStyleCnt="4">
        <dgm:presLayoutVars>
          <dgm:chPref val="3"/>
        </dgm:presLayoutVars>
      </dgm:prSet>
      <dgm:spPr/>
    </dgm:pt>
    <dgm:pt modelId="{8CF4E9B2-41E1-4864-A8ED-B61599AE0A77}" type="pres">
      <dgm:prSet presAssocID="{F457AA1A-FC01-4017-9D2E-D901E23CC1DD}" presName="rootConnector" presStyleLbl="node3" presStyleIdx="0" presStyleCnt="4"/>
      <dgm:spPr/>
    </dgm:pt>
    <dgm:pt modelId="{BE1A6960-3082-4021-A05C-7E822914083B}" type="pres">
      <dgm:prSet presAssocID="{F457AA1A-FC01-4017-9D2E-D901E23CC1DD}" presName="hierChild4" presStyleCnt="0"/>
      <dgm:spPr/>
    </dgm:pt>
    <dgm:pt modelId="{B0F7CBBC-F975-47B4-8E77-AE73A7AFD691}" type="pres">
      <dgm:prSet presAssocID="{F76BB486-653A-43C1-B18E-1C91D0C8997A}" presName="Name37" presStyleLbl="parChTrans1D4" presStyleIdx="0" presStyleCnt="9"/>
      <dgm:spPr/>
    </dgm:pt>
    <dgm:pt modelId="{62EBDE22-543D-4B9A-92A6-2F3139710BE7}" type="pres">
      <dgm:prSet presAssocID="{8444E147-2180-4B40-8FA0-8898DF3A00CA}" presName="hierRoot2" presStyleCnt="0">
        <dgm:presLayoutVars>
          <dgm:hierBranch val="init"/>
        </dgm:presLayoutVars>
      </dgm:prSet>
      <dgm:spPr/>
    </dgm:pt>
    <dgm:pt modelId="{E2E6B004-5108-4E6C-B0F8-45C4B484310E}" type="pres">
      <dgm:prSet presAssocID="{8444E147-2180-4B40-8FA0-8898DF3A00CA}" presName="rootComposite" presStyleCnt="0"/>
      <dgm:spPr/>
    </dgm:pt>
    <dgm:pt modelId="{F89C8CAA-A29D-456C-A187-090B0AC55021}" type="pres">
      <dgm:prSet presAssocID="{8444E147-2180-4B40-8FA0-8898DF3A00CA}" presName="rootText" presStyleLbl="node4" presStyleIdx="0" presStyleCnt="9" custLinFactNeighborX="-24588" custLinFactNeighborY="-12829">
        <dgm:presLayoutVars>
          <dgm:chPref val="3"/>
        </dgm:presLayoutVars>
      </dgm:prSet>
      <dgm:spPr/>
    </dgm:pt>
    <dgm:pt modelId="{33450EF5-1454-4A21-836C-89474381CB27}" type="pres">
      <dgm:prSet presAssocID="{8444E147-2180-4B40-8FA0-8898DF3A00CA}" presName="rootConnector" presStyleLbl="node4" presStyleIdx="0" presStyleCnt="9"/>
      <dgm:spPr/>
    </dgm:pt>
    <dgm:pt modelId="{6E656843-EC4B-4F13-A23A-D9D3CD643DFB}" type="pres">
      <dgm:prSet presAssocID="{8444E147-2180-4B40-8FA0-8898DF3A00CA}" presName="hierChild4" presStyleCnt="0"/>
      <dgm:spPr/>
    </dgm:pt>
    <dgm:pt modelId="{82E18123-0D76-4B20-AA58-E0B50B9A3975}" type="pres">
      <dgm:prSet presAssocID="{8444E147-2180-4B40-8FA0-8898DF3A00CA}" presName="hierChild5" presStyleCnt="0"/>
      <dgm:spPr/>
    </dgm:pt>
    <dgm:pt modelId="{A6187971-76E0-4BC4-9D32-B06303BA9141}" type="pres">
      <dgm:prSet presAssocID="{D193966E-613E-49FF-AC77-F631E86E5074}" presName="Name37" presStyleLbl="parChTrans1D4" presStyleIdx="1" presStyleCnt="9"/>
      <dgm:spPr/>
    </dgm:pt>
    <dgm:pt modelId="{018D1894-051F-4713-B38C-DB8A05ADF3A4}" type="pres">
      <dgm:prSet presAssocID="{59CA719F-02C6-4A92-A150-7439A3038EF9}" presName="hierRoot2" presStyleCnt="0">
        <dgm:presLayoutVars>
          <dgm:hierBranch val="init"/>
        </dgm:presLayoutVars>
      </dgm:prSet>
      <dgm:spPr/>
    </dgm:pt>
    <dgm:pt modelId="{C73619BB-668D-4A9C-9467-18B36139F4E7}" type="pres">
      <dgm:prSet presAssocID="{59CA719F-02C6-4A92-A150-7439A3038EF9}" presName="rootComposite" presStyleCnt="0"/>
      <dgm:spPr/>
    </dgm:pt>
    <dgm:pt modelId="{3861CCBF-3F77-4174-B7FA-0DC5568C8E1A}" type="pres">
      <dgm:prSet presAssocID="{59CA719F-02C6-4A92-A150-7439A3038EF9}" presName="rootText" presStyleLbl="node4" presStyleIdx="1" presStyleCnt="9" custLinFactNeighborX="-18418" custLinFactNeighborY="-17106">
        <dgm:presLayoutVars>
          <dgm:chPref val="3"/>
        </dgm:presLayoutVars>
      </dgm:prSet>
      <dgm:spPr/>
    </dgm:pt>
    <dgm:pt modelId="{BB3A5E1C-28C7-404F-95FD-F1FCA7427642}" type="pres">
      <dgm:prSet presAssocID="{59CA719F-02C6-4A92-A150-7439A3038EF9}" presName="rootConnector" presStyleLbl="node4" presStyleIdx="1" presStyleCnt="9"/>
      <dgm:spPr/>
    </dgm:pt>
    <dgm:pt modelId="{9A2ACEB8-8874-4513-91AB-9A02E0DD2EDD}" type="pres">
      <dgm:prSet presAssocID="{59CA719F-02C6-4A92-A150-7439A3038EF9}" presName="hierChild4" presStyleCnt="0"/>
      <dgm:spPr/>
    </dgm:pt>
    <dgm:pt modelId="{F5F58FCA-6DBE-4566-BB06-1BEE7CBF6E1C}" type="pres">
      <dgm:prSet presAssocID="{59CA719F-02C6-4A92-A150-7439A3038EF9}" presName="hierChild5" presStyleCnt="0"/>
      <dgm:spPr/>
    </dgm:pt>
    <dgm:pt modelId="{6D7D8152-D67A-41C8-B50A-DEF3B426424C}" type="pres">
      <dgm:prSet presAssocID="{F457AA1A-FC01-4017-9D2E-D901E23CC1DD}" presName="hierChild5" presStyleCnt="0"/>
      <dgm:spPr/>
    </dgm:pt>
    <dgm:pt modelId="{EB9C542E-4874-4567-BD39-CC0F7991A418}" type="pres">
      <dgm:prSet presAssocID="{379637A1-6C0A-486E-B690-4E34205BD7EA}" presName="hierChild5" presStyleCnt="0"/>
      <dgm:spPr/>
    </dgm:pt>
    <dgm:pt modelId="{5A519C59-9849-49AC-A4C3-C2D51FCECE44}" type="pres">
      <dgm:prSet presAssocID="{7C18ADF6-7D4A-4E3F-BB28-11393995E91F}" presName="Name37" presStyleLbl="parChTrans1D2" presStyleIdx="1" presStyleCnt="4"/>
      <dgm:spPr/>
    </dgm:pt>
    <dgm:pt modelId="{2DA24420-4DE8-4EC4-B08D-98E490602589}" type="pres">
      <dgm:prSet presAssocID="{1C19BCB7-44BC-4A40-AAB7-CBEF59B22E71}" presName="hierRoot2" presStyleCnt="0">
        <dgm:presLayoutVars>
          <dgm:hierBranch val="init"/>
        </dgm:presLayoutVars>
      </dgm:prSet>
      <dgm:spPr/>
    </dgm:pt>
    <dgm:pt modelId="{FB6C7482-7A42-4A2F-AE57-3F8301925A48}" type="pres">
      <dgm:prSet presAssocID="{1C19BCB7-44BC-4A40-AAB7-CBEF59B22E71}" presName="rootComposite" presStyleCnt="0"/>
      <dgm:spPr/>
    </dgm:pt>
    <dgm:pt modelId="{FD6E09B4-0E35-4E5A-A979-246DE837364A}" type="pres">
      <dgm:prSet presAssocID="{1C19BCB7-44BC-4A40-AAB7-CBEF59B22E71}" presName="rootText" presStyleLbl="node2" presStyleIdx="1" presStyleCnt="4">
        <dgm:presLayoutVars>
          <dgm:chPref val="3"/>
        </dgm:presLayoutVars>
      </dgm:prSet>
      <dgm:spPr/>
    </dgm:pt>
    <dgm:pt modelId="{BF958495-894D-4275-93F4-E01640FFBC02}" type="pres">
      <dgm:prSet presAssocID="{1C19BCB7-44BC-4A40-AAB7-CBEF59B22E71}" presName="rootConnector" presStyleLbl="node2" presStyleIdx="1" presStyleCnt="4"/>
      <dgm:spPr/>
    </dgm:pt>
    <dgm:pt modelId="{99D33391-B844-46FC-8124-F528B4F77F89}" type="pres">
      <dgm:prSet presAssocID="{1C19BCB7-44BC-4A40-AAB7-CBEF59B22E71}" presName="hierChild4" presStyleCnt="0"/>
      <dgm:spPr/>
    </dgm:pt>
    <dgm:pt modelId="{65ADF6F5-96BD-444D-B832-17ECA4588C8F}" type="pres">
      <dgm:prSet presAssocID="{29456C04-F344-4F67-B341-B7EB85DD1B9C}" presName="Name37" presStyleLbl="parChTrans1D3" presStyleIdx="1" presStyleCnt="4"/>
      <dgm:spPr/>
    </dgm:pt>
    <dgm:pt modelId="{A6217BE8-0312-421A-A4F6-EDB41F5CD729}" type="pres">
      <dgm:prSet presAssocID="{10FECBC0-26B1-4704-B627-57CB76A83C3E}" presName="hierRoot2" presStyleCnt="0">
        <dgm:presLayoutVars>
          <dgm:hierBranch val="init"/>
        </dgm:presLayoutVars>
      </dgm:prSet>
      <dgm:spPr/>
    </dgm:pt>
    <dgm:pt modelId="{A9A2E4A5-DF8A-4FEF-BA50-65249AAD67AC}" type="pres">
      <dgm:prSet presAssocID="{10FECBC0-26B1-4704-B627-57CB76A83C3E}" presName="rootComposite" presStyleCnt="0"/>
      <dgm:spPr/>
    </dgm:pt>
    <dgm:pt modelId="{BB7B4530-5D59-4F82-90A2-EFD83ADB2411}" type="pres">
      <dgm:prSet presAssocID="{10FECBC0-26B1-4704-B627-57CB76A83C3E}" presName="rootText" presStyleLbl="node3" presStyleIdx="1" presStyleCnt="4">
        <dgm:presLayoutVars>
          <dgm:chPref val="3"/>
        </dgm:presLayoutVars>
      </dgm:prSet>
      <dgm:spPr/>
    </dgm:pt>
    <dgm:pt modelId="{0762C9CF-57EB-4744-933D-12996288B43A}" type="pres">
      <dgm:prSet presAssocID="{10FECBC0-26B1-4704-B627-57CB76A83C3E}" presName="rootConnector" presStyleLbl="node3" presStyleIdx="1" presStyleCnt="4"/>
      <dgm:spPr/>
    </dgm:pt>
    <dgm:pt modelId="{56252A8C-AC9C-4609-9A18-FB70034B470E}" type="pres">
      <dgm:prSet presAssocID="{10FECBC0-26B1-4704-B627-57CB76A83C3E}" presName="hierChild4" presStyleCnt="0"/>
      <dgm:spPr/>
    </dgm:pt>
    <dgm:pt modelId="{FBE6B697-DFF9-4C2D-A872-D7A5C8F8BC6F}" type="pres">
      <dgm:prSet presAssocID="{E2F99618-1324-4869-A305-C8AD7DB94EBC}" presName="Name37" presStyleLbl="parChTrans1D4" presStyleIdx="2" presStyleCnt="9"/>
      <dgm:spPr/>
    </dgm:pt>
    <dgm:pt modelId="{1CF1C01B-711B-4227-B1DD-2B2C77DDF841}" type="pres">
      <dgm:prSet presAssocID="{A95CF817-D95B-4022-A09F-A7A724243C30}" presName="hierRoot2" presStyleCnt="0">
        <dgm:presLayoutVars>
          <dgm:hierBranch val="init"/>
        </dgm:presLayoutVars>
      </dgm:prSet>
      <dgm:spPr/>
    </dgm:pt>
    <dgm:pt modelId="{AB22FBDA-8BB5-4117-A4DF-49CA7211DB12}" type="pres">
      <dgm:prSet presAssocID="{A95CF817-D95B-4022-A09F-A7A724243C30}" presName="rootComposite" presStyleCnt="0"/>
      <dgm:spPr/>
    </dgm:pt>
    <dgm:pt modelId="{51E7A138-A6B3-41C4-BF38-1DFAC2DCADC7}" type="pres">
      <dgm:prSet presAssocID="{A95CF817-D95B-4022-A09F-A7A724243C30}" presName="rootText" presStyleLbl="node4" presStyleIdx="2" presStyleCnt="9">
        <dgm:presLayoutVars>
          <dgm:chPref val="3"/>
        </dgm:presLayoutVars>
      </dgm:prSet>
      <dgm:spPr/>
    </dgm:pt>
    <dgm:pt modelId="{5E2D9057-188B-4385-B5D6-D494A32C52DD}" type="pres">
      <dgm:prSet presAssocID="{A95CF817-D95B-4022-A09F-A7A724243C30}" presName="rootConnector" presStyleLbl="node4" presStyleIdx="2" presStyleCnt="9"/>
      <dgm:spPr/>
    </dgm:pt>
    <dgm:pt modelId="{2526DCAC-F22D-4EAF-98D3-B5642DBB69A2}" type="pres">
      <dgm:prSet presAssocID="{A95CF817-D95B-4022-A09F-A7A724243C30}" presName="hierChild4" presStyleCnt="0"/>
      <dgm:spPr/>
    </dgm:pt>
    <dgm:pt modelId="{25B3CB86-A867-4C00-9A00-E5F409551B3A}" type="pres">
      <dgm:prSet presAssocID="{A6CE334C-7D40-44F0-978B-BD5C3D531A3C}" presName="Name37" presStyleLbl="parChTrans1D4" presStyleIdx="3" presStyleCnt="9"/>
      <dgm:spPr/>
    </dgm:pt>
    <dgm:pt modelId="{1AEB0681-36B6-4DB4-863A-C5A1450861A9}" type="pres">
      <dgm:prSet presAssocID="{3F246069-1707-4D60-8155-96BE0C60F0F3}" presName="hierRoot2" presStyleCnt="0">
        <dgm:presLayoutVars>
          <dgm:hierBranch val="init"/>
        </dgm:presLayoutVars>
      </dgm:prSet>
      <dgm:spPr/>
    </dgm:pt>
    <dgm:pt modelId="{32E29667-6FFE-4B3D-BE7D-6127E7F3ADCE}" type="pres">
      <dgm:prSet presAssocID="{3F246069-1707-4D60-8155-96BE0C60F0F3}" presName="rootComposite" presStyleCnt="0"/>
      <dgm:spPr/>
    </dgm:pt>
    <dgm:pt modelId="{F20F0AFB-1595-4097-BAED-08E74194EDD6}" type="pres">
      <dgm:prSet presAssocID="{3F246069-1707-4D60-8155-96BE0C60F0F3}" presName="rootText" presStyleLbl="node4" presStyleIdx="3" presStyleCnt="9">
        <dgm:presLayoutVars>
          <dgm:chPref val="3"/>
        </dgm:presLayoutVars>
      </dgm:prSet>
      <dgm:spPr/>
    </dgm:pt>
    <dgm:pt modelId="{98753DE9-5EBC-4130-B46A-8CF8D8405716}" type="pres">
      <dgm:prSet presAssocID="{3F246069-1707-4D60-8155-96BE0C60F0F3}" presName="rootConnector" presStyleLbl="node4" presStyleIdx="3" presStyleCnt="9"/>
      <dgm:spPr/>
    </dgm:pt>
    <dgm:pt modelId="{A16345A9-7085-47CC-8989-405A78FCD2CC}" type="pres">
      <dgm:prSet presAssocID="{3F246069-1707-4D60-8155-96BE0C60F0F3}" presName="hierChild4" presStyleCnt="0"/>
      <dgm:spPr/>
    </dgm:pt>
    <dgm:pt modelId="{7AE7CD4A-F939-4FAA-A9A6-8B5750D535AA}" type="pres">
      <dgm:prSet presAssocID="{3F246069-1707-4D60-8155-96BE0C60F0F3}" presName="hierChild5" presStyleCnt="0"/>
      <dgm:spPr/>
    </dgm:pt>
    <dgm:pt modelId="{DDE7ED89-6A95-491C-A1B0-BFBFC6C807E2}" type="pres">
      <dgm:prSet presAssocID="{A95CF817-D95B-4022-A09F-A7A724243C30}" presName="hierChild5" presStyleCnt="0"/>
      <dgm:spPr/>
    </dgm:pt>
    <dgm:pt modelId="{3DAC6559-F268-4ABC-9665-80A81DB7AD93}" type="pres">
      <dgm:prSet presAssocID="{10FECBC0-26B1-4704-B627-57CB76A83C3E}" presName="hierChild5" presStyleCnt="0"/>
      <dgm:spPr/>
    </dgm:pt>
    <dgm:pt modelId="{3E79350C-CE5C-4780-BA99-C5DFC61638E4}" type="pres">
      <dgm:prSet presAssocID="{1C19BCB7-44BC-4A40-AAB7-CBEF59B22E71}" presName="hierChild5" presStyleCnt="0"/>
      <dgm:spPr/>
    </dgm:pt>
    <dgm:pt modelId="{EDCCCFA9-7913-4859-9BC8-E61E9FE03150}" type="pres">
      <dgm:prSet presAssocID="{9C1E2A02-74EA-4ADF-88F5-2A3B20540F82}" presName="Name37" presStyleLbl="parChTrans1D2" presStyleIdx="2" presStyleCnt="4"/>
      <dgm:spPr/>
    </dgm:pt>
    <dgm:pt modelId="{209DE6E4-10B4-4BD3-8171-CEE41624E9E0}" type="pres">
      <dgm:prSet presAssocID="{68B30F11-1BC9-4DC6-9534-2716DC6551F2}" presName="hierRoot2" presStyleCnt="0">
        <dgm:presLayoutVars>
          <dgm:hierBranch val="init"/>
        </dgm:presLayoutVars>
      </dgm:prSet>
      <dgm:spPr/>
    </dgm:pt>
    <dgm:pt modelId="{21D78E1B-E374-47D6-91AA-063F54E97E82}" type="pres">
      <dgm:prSet presAssocID="{68B30F11-1BC9-4DC6-9534-2716DC6551F2}" presName="rootComposite" presStyleCnt="0"/>
      <dgm:spPr/>
    </dgm:pt>
    <dgm:pt modelId="{6FABC1F1-0D1F-4976-B277-9429429EAB66}" type="pres">
      <dgm:prSet presAssocID="{68B30F11-1BC9-4DC6-9534-2716DC6551F2}" presName="rootText" presStyleLbl="node2" presStyleIdx="2" presStyleCnt="4">
        <dgm:presLayoutVars>
          <dgm:chPref val="3"/>
        </dgm:presLayoutVars>
      </dgm:prSet>
      <dgm:spPr/>
    </dgm:pt>
    <dgm:pt modelId="{A31FDF6E-289E-4828-B65A-356B716758B9}" type="pres">
      <dgm:prSet presAssocID="{68B30F11-1BC9-4DC6-9534-2716DC6551F2}" presName="rootConnector" presStyleLbl="node2" presStyleIdx="2" presStyleCnt="4"/>
      <dgm:spPr/>
    </dgm:pt>
    <dgm:pt modelId="{5C031C61-8196-4E92-A5E0-B1A769B067A3}" type="pres">
      <dgm:prSet presAssocID="{68B30F11-1BC9-4DC6-9534-2716DC6551F2}" presName="hierChild4" presStyleCnt="0"/>
      <dgm:spPr/>
    </dgm:pt>
    <dgm:pt modelId="{2155B8E4-8E9D-4E49-8543-2F5E89B73F7F}" type="pres">
      <dgm:prSet presAssocID="{52801D01-F22E-4FB7-9834-A949775C873E}" presName="Name37" presStyleLbl="parChTrans1D3" presStyleIdx="2" presStyleCnt="4"/>
      <dgm:spPr/>
    </dgm:pt>
    <dgm:pt modelId="{8D3338FA-529F-4C22-84FF-903EBD2D9926}" type="pres">
      <dgm:prSet presAssocID="{1EFC52AD-F9D0-4AAE-8117-F949D35E0FCA}" presName="hierRoot2" presStyleCnt="0">
        <dgm:presLayoutVars>
          <dgm:hierBranch val="init"/>
        </dgm:presLayoutVars>
      </dgm:prSet>
      <dgm:spPr/>
    </dgm:pt>
    <dgm:pt modelId="{B55E3A95-5EF7-4498-B384-2CD45F503E02}" type="pres">
      <dgm:prSet presAssocID="{1EFC52AD-F9D0-4AAE-8117-F949D35E0FCA}" presName="rootComposite" presStyleCnt="0"/>
      <dgm:spPr/>
    </dgm:pt>
    <dgm:pt modelId="{F5876B00-2149-4659-AA75-F7EF89DD23F3}" type="pres">
      <dgm:prSet presAssocID="{1EFC52AD-F9D0-4AAE-8117-F949D35E0FCA}" presName="rootText" presStyleLbl="node3" presStyleIdx="2" presStyleCnt="4" custLinFactNeighborX="0" custLinFactNeighborY="-10776">
        <dgm:presLayoutVars>
          <dgm:chPref val="3"/>
        </dgm:presLayoutVars>
      </dgm:prSet>
      <dgm:spPr/>
    </dgm:pt>
    <dgm:pt modelId="{7745BD8F-C06D-403D-8A94-079AA50B449E}" type="pres">
      <dgm:prSet presAssocID="{1EFC52AD-F9D0-4AAE-8117-F949D35E0FCA}" presName="rootConnector" presStyleLbl="node3" presStyleIdx="2" presStyleCnt="4"/>
      <dgm:spPr/>
    </dgm:pt>
    <dgm:pt modelId="{F7FF81A2-1176-4C97-8237-7EC4FE4A8EB0}" type="pres">
      <dgm:prSet presAssocID="{1EFC52AD-F9D0-4AAE-8117-F949D35E0FCA}" presName="hierChild4" presStyleCnt="0"/>
      <dgm:spPr/>
    </dgm:pt>
    <dgm:pt modelId="{04B115E8-F26F-41EA-B6C4-3612AFA1413E}" type="pres">
      <dgm:prSet presAssocID="{B0AAFD5E-83F5-48D2-AAF4-1E067628F8FD}" presName="Name37" presStyleLbl="parChTrans1D4" presStyleIdx="4" presStyleCnt="9"/>
      <dgm:spPr/>
    </dgm:pt>
    <dgm:pt modelId="{AD8A1961-08A7-439B-AD69-15E82A043A7A}" type="pres">
      <dgm:prSet presAssocID="{56AF2CE4-AC21-4438-A55E-408418920F4F}" presName="hierRoot2" presStyleCnt="0">
        <dgm:presLayoutVars>
          <dgm:hierBranch val="init"/>
        </dgm:presLayoutVars>
      </dgm:prSet>
      <dgm:spPr/>
    </dgm:pt>
    <dgm:pt modelId="{B090576D-E246-49E5-872C-E70CA3ECB9DE}" type="pres">
      <dgm:prSet presAssocID="{56AF2CE4-AC21-4438-A55E-408418920F4F}" presName="rootComposite" presStyleCnt="0"/>
      <dgm:spPr/>
    </dgm:pt>
    <dgm:pt modelId="{53C2D9BD-84A0-45AB-91B7-EC350FE98A41}" type="pres">
      <dgm:prSet presAssocID="{56AF2CE4-AC21-4438-A55E-408418920F4F}" presName="rootText" presStyleLbl="node4" presStyleIdx="4" presStyleCnt="9" custLinFactNeighborX="19757">
        <dgm:presLayoutVars>
          <dgm:chPref val="3"/>
        </dgm:presLayoutVars>
      </dgm:prSet>
      <dgm:spPr/>
    </dgm:pt>
    <dgm:pt modelId="{4C345BB2-400B-4E93-9369-28186AF6B042}" type="pres">
      <dgm:prSet presAssocID="{56AF2CE4-AC21-4438-A55E-408418920F4F}" presName="rootConnector" presStyleLbl="node4" presStyleIdx="4" presStyleCnt="9"/>
      <dgm:spPr/>
    </dgm:pt>
    <dgm:pt modelId="{779BBD33-E2EE-4185-8DA8-FED504B517A3}" type="pres">
      <dgm:prSet presAssocID="{56AF2CE4-AC21-4438-A55E-408418920F4F}" presName="hierChild4" presStyleCnt="0"/>
      <dgm:spPr/>
    </dgm:pt>
    <dgm:pt modelId="{8CDF090C-5AD8-4FC3-BA8D-519670590BBA}" type="pres">
      <dgm:prSet presAssocID="{AF7CABD1-B362-409A-9396-DF9557EF23E3}" presName="Name37" presStyleLbl="parChTrans1D4" presStyleIdx="5" presStyleCnt="9"/>
      <dgm:spPr/>
    </dgm:pt>
    <dgm:pt modelId="{275E8412-A48E-488A-9830-FC73280966B1}" type="pres">
      <dgm:prSet presAssocID="{D0D67D20-C4D0-46F0-B95D-00FD34CE9305}" presName="hierRoot2" presStyleCnt="0">
        <dgm:presLayoutVars>
          <dgm:hierBranch val="init"/>
        </dgm:presLayoutVars>
      </dgm:prSet>
      <dgm:spPr/>
    </dgm:pt>
    <dgm:pt modelId="{9EE3C67F-C444-42E8-97C5-198F051D5862}" type="pres">
      <dgm:prSet presAssocID="{D0D67D20-C4D0-46F0-B95D-00FD34CE9305}" presName="rootComposite" presStyleCnt="0"/>
      <dgm:spPr/>
    </dgm:pt>
    <dgm:pt modelId="{7BA21248-A16F-4381-84A7-EAC6F51647C5}" type="pres">
      <dgm:prSet presAssocID="{D0D67D20-C4D0-46F0-B95D-00FD34CE9305}" presName="rootText" presStyleLbl="node4" presStyleIdx="5" presStyleCnt="9" custLinFactNeighborX="-4499" custLinFactNeighborY="-3712">
        <dgm:presLayoutVars>
          <dgm:chPref val="3"/>
        </dgm:presLayoutVars>
      </dgm:prSet>
      <dgm:spPr/>
    </dgm:pt>
    <dgm:pt modelId="{194276D4-EA25-4417-AD20-A2041FE81042}" type="pres">
      <dgm:prSet presAssocID="{D0D67D20-C4D0-46F0-B95D-00FD34CE9305}" presName="rootConnector" presStyleLbl="node4" presStyleIdx="5" presStyleCnt="9"/>
      <dgm:spPr/>
    </dgm:pt>
    <dgm:pt modelId="{3E25F58B-F368-4548-8438-6C0D50E0EE06}" type="pres">
      <dgm:prSet presAssocID="{D0D67D20-C4D0-46F0-B95D-00FD34CE9305}" presName="hierChild4" presStyleCnt="0"/>
      <dgm:spPr/>
    </dgm:pt>
    <dgm:pt modelId="{7E026730-74E5-46CE-BAE5-2AAD729AEA05}" type="pres">
      <dgm:prSet presAssocID="{D0D67D20-C4D0-46F0-B95D-00FD34CE9305}" presName="hierChild5" presStyleCnt="0"/>
      <dgm:spPr/>
    </dgm:pt>
    <dgm:pt modelId="{7C0485A5-1B2A-4FA5-A3A7-31BF5E510D69}" type="pres">
      <dgm:prSet presAssocID="{56AF2CE4-AC21-4438-A55E-408418920F4F}" presName="hierChild5" presStyleCnt="0"/>
      <dgm:spPr/>
    </dgm:pt>
    <dgm:pt modelId="{B3B9E129-B4B8-4829-BFBD-39D9976C7ABF}" type="pres">
      <dgm:prSet presAssocID="{1EFC52AD-F9D0-4AAE-8117-F949D35E0FCA}" presName="hierChild5" presStyleCnt="0"/>
      <dgm:spPr/>
    </dgm:pt>
    <dgm:pt modelId="{B0D50F2C-B452-4555-9E90-14B3A2593A31}" type="pres">
      <dgm:prSet presAssocID="{68B30F11-1BC9-4DC6-9534-2716DC6551F2}" presName="hierChild5" presStyleCnt="0"/>
      <dgm:spPr/>
    </dgm:pt>
    <dgm:pt modelId="{563AE486-9CDE-4E5A-978A-4A2F7C3A4672}" type="pres">
      <dgm:prSet presAssocID="{507BDAA5-5D60-4C15-B40F-17ED2A2009A3}" presName="Name37" presStyleLbl="parChTrans1D2" presStyleIdx="3" presStyleCnt="4"/>
      <dgm:spPr/>
    </dgm:pt>
    <dgm:pt modelId="{230B41FA-5F41-4938-8A49-2202AF32130A}" type="pres">
      <dgm:prSet presAssocID="{4443D19A-4504-49D1-8F89-961966A6DF8F}" presName="hierRoot2" presStyleCnt="0">
        <dgm:presLayoutVars>
          <dgm:hierBranch val="init"/>
        </dgm:presLayoutVars>
      </dgm:prSet>
      <dgm:spPr/>
    </dgm:pt>
    <dgm:pt modelId="{EAECC217-FA08-44C5-923B-B676D84498A4}" type="pres">
      <dgm:prSet presAssocID="{4443D19A-4504-49D1-8F89-961966A6DF8F}" presName="rootComposite" presStyleCnt="0"/>
      <dgm:spPr/>
    </dgm:pt>
    <dgm:pt modelId="{D900244F-D4B9-48DA-8D50-E9FB131C7C1A}" type="pres">
      <dgm:prSet presAssocID="{4443D19A-4504-49D1-8F89-961966A6DF8F}" presName="rootText" presStyleLbl="node2" presStyleIdx="3" presStyleCnt="4">
        <dgm:presLayoutVars>
          <dgm:chPref val="3"/>
        </dgm:presLayoutVars>
      </dgm:prSet>
      <dgm:spPr/>
    </dgm:pt>
    <dgm:pt modelId="{24BC185D-EC5D-46EE-BBD5-020AE418443E}" type="pres">
      <dgm:prSet presAssocID="{4443D19A-4504-49D1-8F89-961966A6DF8F}" presName="rootConnector" presStyleLbl="node2" presStyleIdx="3" presStyleCnt="4"/>
      <dgm:spPr/>
    </dgm:pt>
    <dgm:pt modelId="{411ABD1F-828A-4905-BD07-6574861F31E6}" type="pres">
      <dgm:prSet presAssocID="{4443D19A-4504-49D1-8F89-961966A6DF8F}" presName="hierChild4" presStyleCnt="0"/>
      <dgm:spPr/>
    </dgm:pt>
    <dgm:pt modelId="{2EF14CEF-F6CE-40CC-9F9F-08C80595BF36}" type="pres">
      <dgm:prSet presAssocID="{69EB26BF-1E2B-4DD8-851E-7D6BEE344023}" presName="Name37" presStyleLbl="parChTrans1D3" presStyleIdx="3" presStyleCnt="4"/>
      <dgm:spPr/>
    </dgm:pt>
    <dgm:pt modelId="{22AFDDE2-6AD3-4D23-9F17-E44D9ABC6F6C}" type="pres">
      <dgm:prSet presAssocID="{17C57E96-7CD9-4C03-B3A1-F1D032890ABD}" presName="hierRoot2" presStyleCnt="0">
        <dgm:presLayoutVars>
          <dgm:hierBranch val="init"/>
        </dgm:presLayoutVars>
      </dgm:prSet>
      <dgm:spPr/>
    </dgm:pt>
    <dgm:pt modelId="{C998F149-0F1A-48DB-8BE6-3A4C78AB61F7}" type="pres">
      <dgm:prSet presAssocID="{17C57E96-7CD9-4C03-B3A1-F1D032890ABD}" presName="rootComposite" presStyleCnt="0"/>
      <dgm:spPr/>
    </dgm:pt>
    <dgm:pt modelId="{C3F08A0C-12A6-40E8-9C03-DD8AD0F863E5}" type="pres">
      <dgm:prSet presAssocID="{17C57E96-7CD9-4C03-B3A1-F1D032890ABD}" presName="rootText" presStyleLbl="node3" presStyleIdx="3" presStyleCnt="4" custLinFactNeighborX="5681" custLinFactNeighborY="-5681">
        <dgm:presLayoutVars>
          <dgm:chPref val="3"/>
        </dgm:presLayoutVars>
      </dgm:prSet>
      <dgm:spPr/>
    </dgm:pt>
    <dgm:pt modelId="{61E82AB9-B789-48C5-985F-ABA20E0A8CCD}" type="pres">
      <dgm:prSet presAssocID="{17C57E96-7CD9-4C03-B3A1-F1D032890ABD}" presName="rootConnector" presStyleLbl="node3" presStyleIdx="3" presStyleCnt="4"/>
      <dgm:spPr/>
    </dgm:pt>
    <dgm:pt modelId="{F745CFEE-1973-41AB-875E-053778E3F477}" type="pres">
      <dgm:prSet presAssocID="{17C57E96-7CD9-4C03-B3A1-F1D032890ABD}" presName="hierChild4" presStyleCnt="0"/>
      <dgm:spPr/>
    </dgm:pt>
    <dgm:pt modelId="{ABDCE4B4-F0AC-4DC7-8F6F-DB754A0F48D7}" type="pres">
      <dgm:prSet presAssocID="{3F2ABC22-06C2-4B2C-A642-2B75E427B632}" presName="Name37" presStyleLbl="parChTrans1D4" presStyleIdx="6" presStyleCnt="9"/>
      <dgm:spPr/>
    </dgm:pt>
    <dgm:pt modelId="{F54BF891-4549-4D85-9475-B6391FBECE3A}" type="pres">
      <dgm:prSet presAssocID="{FF605BF2-5191-4099-8062-9516A4F5706D}" presName="hierRoot2" presStyleCnt="0">
        <dgm:presLayoutVars>
          <dgm:hierBranch val="init"/>
        </dgm:presLayoutVars>
      </dgm:prSet>
      <dgm:spPr/>
    </dgm:pt>
    <dgm:pt modelId="{E6AA33B5-6389-4AA1-8693-6E1153F9CAF9}" type="pres">
      <dgm:prSet presAssocID="{FF605BF2-5191-4099-8062-9516A4F5706D}" presName="rootComposite" presStyleCnt="0"/>
      <dgm:spPr/>
    </dgm:pt>
    <dgm:pt modelId="{0566ECE3-E535-41DD-94E9-69BEC91A517A}" type="pres">
      <dgm:prSet presAssocID="{FF605BF2-5191-4099-8062-9516A4F5706D}" presName="rootText" presStyleLbl="node4" presStyleIdx="6" presStyleCnt="9" custLinFactNeighborX="18539" custLinFactNeighborY="-11242">
        <dgm:presLayoutVars>
          <dgm:chPref val="3"/>
        </dgm:presLayoutVars>
      </dgm:prSet>
      <dgm:spPr/>
    </dgm:pt>
    <dgm:pt modelId="{B6296C64-8727-4F1A-B7AC-7B1D224ECC76}" type="pres">
      <dgm:prSet presAssocID="{FF605BF2-5191-4099-8062-9516A4F5706D}" presName="rootConnector" presStyleLbl="node4" presStyleIdx="6" presStyleCnt="9"/>
      <dgm:spPr/>
    </dgm:pt>
    <dgm:pt modelId="{ED0BC117-873B-43DD-85BC-2667B7FF5A2D}" type="pres">
      <dgm:prSet presAssocID="{FF605BF2-5191-4099-8062-9516A4F5706D}" presName="hierChild4" presStyleCnt="0"/>
      <dgm:spPr/>
    </dgm:pt>
    <dgm:pt modelId="{0670636C-8B13-4FF2-9F32-D43EF8360A98}" type="pres">
      <dgm:prSet presAssocID="{8A3C6B0B-65B0-4837-B9F8-A8ED6DE48A60}" presName="Name37" presStyleLbl="parChTrans1D4" presStyleIdx="7" presStyleCnt="9"/>
      <dgm:spPr/>
    </dgm:pt>
    <dgm:pt modelId="{2C406101-7ACA-4298-8E66-23ED65BAD511}" type="pres">
      <dgm:prSet presAssocID="{09E63166-A391-45F7-9CF5-20DD422D3672}" presName="hierRoot2" presStyleCnt="0">
        <dgm:presLayoutVars>
          <dgm:hierBranch val="init"/>
        </dgm:presLayoutVars>
      </dgm:prSet>
      <dgm:spPr/>
    </dgm:pt>
    <dgm:pt modelId="{3E182371-A7F7-40D5-A622-050B77126E6C}" type="pres">
      <dgm:prSet presAssocID="{09E63166-A391-45F7-9CF5-20DD422D3672}" presName="rootComposite" presStyleCnt="0"/>
      <dgm:spPr/>
    </dgm:pt>
    <dgm:pt modelId="{2C4DD7EF-3EE4-4D52-AF29-F15DDDBDB3AB}" type="pres">
      <dgm:prSet presAssocID="{09E63166-A391-45F7-9CF5-20DD422D3672}" presName="rootText" presStyleLbl="node4" presStyleIdx="7" presStyleCnt="9" custLinFactNeighborX="-5379" custLinFactNeighborY="-890">
        <dgm:presLayoutVars>
          <dgm:chPref val="3"/>
        </dgm:presLayoutVars>
      </dgm:prSet>
      <dgm:spPr/>
    </dgm:pt>
    <dgm:pt modelId="{84418E5F-9AB8-42B7-AAFD-5F38E9D9D908}" type="pres">
      <dgm:prSet presAssocID="{09E63166-A391-45F7-9CF5-20DD422D3672}" presName="rootConnector" presStyleLbl="node4" presStyleIdx="7" presStyleCnt="9"/>
      <dgm:spPr/>
    </dgm:pt>
    <dgm:pt modelId="{DD57ABD1-834B-4511-868E-19ECCD827F95}" type="pres">
      <dgm:prSet presAssocID="{09E63166-A391-45F7-9CF5-20DD422D3672}" presName="hierChild4" presStyleCnt="0"/>
      <dgm:spPr/>
    </dgm:pt>
    <dgm:pt modelId="{C170A6F4-0FBC-414E-A964-7557C1D1391D}" type="pres">
      <dgm:prSet presAssocID="{97757D7F-5258-42DF-90BF-960EB9300BC0}" presName="Name37" presStyleLbl="parChTrans1D4" presStyleIdx="8" presStyleCnt="9"/>
      <dgm:spPr/>
    </dgm:pt>
    <dgm:pt modelId="{ACB5A5A9-DE0B-4637-B80D-3F2D4E00CD5E}" type="pres">
      <dgm:prSet presAssocID="{A055D5C0-12C1-4AC9-A509-84204F85DF40}" presName="hierRoot2" presStyleCnt="0">
        <dgm:presLayoutVars>
          <dgm:hierBranch val="init"/>
        </dgm:presLayoutVars>
      </dgm:prSet>
      <dgm:spPr/>
    </dgm:pt>
    <dgm:pt modelId="{9992E83F-2D1C-4A94-B4E8-684DC0CF1725}" type="pres">
      <dgm:prSet presAssocID="{A055D5C0-12C1-4AC9-A509-84204F85DF40}" presName="rootComposite" presStyleCnt="0"/>
      <dgm:spPr/>
    </dgm:pt>
    <dgm:pt modelId="{F3A62363-9571-41E8-8909-54093C6C392F}" type="pres">
      <dgm:prSet presAssocID="{A055D5C0-12C1-4AC9-A509-84204F85DF40}" presName="rootText" presStyleLbl="node4" presStyleIdx="8" presStyleCnt="9">
        <dgm:presLayoutVars>
          <dgm:chPref val="3"/>
        </dgm:presLayoutVars>
      </dgm:prSet>
      <dgm:spPr/>
    </dgm:pt>
    <dgm:pt modelId="{603BD15C-0FB8-458C-B149-2D8182359395}" type="pres">
      <dgm:prSet presAssocID="{A055D5C0-12C1-4AC9-A509-84204F85DF40}" presName="rootConnector" presStyleLbl="node4" presStyleIdx="8" presStyleCnt="9"/>
      <dgm:spPr/>
    </dgm:pt>
    <dgm:pt modelId="{2DA642EF-BB9E-4214-B190-A0C42BE1E85B}" type="pres">
      <dgm:prSet presAssocID="{A055D5C0-12C1-4AC9-A509-84204F85DF40}" presName="hierChild4" presStyleCnt="0"/>
      <dgm:spPr/>
    </dgm:pt>
    <dgm:pt modelId="{03528C0A-C45A-4D03-94A7-FF211B66B099}" type="pres">
      <dgm:prSet presAssocID="{A055D5C0-12C1-4AC9-A509-84204F85DF40}" presName="hierChild5" presStyleCnt="0"/>
      <dgm:spPr/>
    </dgm:pt>
    <dgm:pt modelId="{89E8216C-4827-4A20-A74D-151A7EF89B66}" type="pres">
      <dgm:prSet presAssocID="{09E63166-A391-45F7-9CF5-20DD422D3672}" presName="hierChild5" presStyleCnt="0"/>
      <dgm:spPr/>
    </dgm:pt>
    <dgm:pt modelId="{3294F3AF-FC5B-4D54-889D-2BA024B94592}" type="pres">
      <dgm:prSet presAssocID="{FF605BF2-5191-4099-8062-9516A4F5706D}" presName="hierChild5" presStyleCnt="0"/>
      <dgm:spPr/>
    </dgm:pt>
    <dgm:pt modelId="{CCF0887A-DD78-4AA6-856D-93ED33913F29}" type="pres">
      <dgm:prSet presAssocID="{17C57E96-7CD9-4C03-B3A1-F1D032890ABD}" presName="hierChild5" presStyleCnt="0"/>
      <dgm:spPr/>
    </dgm:pt>
    <dgm:pt modelId="{9A56D054-906F-440E-B5CD-6D7542E03A5E}" type="pres">
      <dgm:prSet presAssocID="{4443D19A-4504-49D1-8F89-961966A6DF8F}" presName="hierChild5" presStyleCnt="0"/>
      <dgm:spPr/>
    </dgm:pt>
    <dgm:pt modelId="{42D3796B-5905-4C4C-A946-E52C7A037B6F}" type="pres">
      <dgm:prSet presAssocID="{EE8E4861-C3ED-486D-ACD5-2470781CB6BE}" presName="hierChild3" presStyleCnt="0"/>
      <dgm:spPr/>
    </dgm:pt>
  </dgm:ptLst>
  <dgm:cxnLst>
    <dgm:cxn modelId="{2BF86101-66D3-4CE9-BE94-A60BEEBD6B22}" type="presOf" srcId="{D0D67D20-C4D0-46F0-B95D-00FD34CE9305}" destId="{194276D4-EA25-4417-AD20-A2041FE81042}" srcOrd="1" destOrd="0" presId="urn:microsoft.com/office/officeart/2005/8/layout/orgChart1"/>
    <dgm:cxn modelId="{343DFB01-469C-4FA7-B4BF-818B8880D365}" srcId="{1EFC52AD-F9D0-4AAE-8117-F949D35E0FCA}" destId="{56AF2CE4-AC21-4438-A55E-408418920F4F}" srcOrd="0" destOrd="0" parTransId="{B0AAFD5E-83F5-48D2-AAF4-1E067628F8FD}" sibTransId="{29479E0F-77B2-4E73-A731-8631B1767B93}"/>
    <dgm:cxn modelId="{0258AD02-B9BF-4B55-9DC0-E8D036BA3E18}" type="presOf" srcId="{D193966E-613E-49FF-AC77-F631E86E5074}" destId="{A6187971-76E0-4BC4-9D32-B06303BA9141}" srcOrd="0" destOrd="0" presId="urn:microsoft.com/office/officeart/2005/8/layout/orgChart1"/>
    <dgm:cxn modelId="{ADF8C006-F0AF-47F0-B8D4-D9872AE6CA2A}" srcId="{EE8E4861-C3ED-486D-ACD5-2470781CB6BE}" destId="{4443D19A-4504-49D1-8F89-961966A6DF8F}" srcOrd="3" destOrd="0" parTransId="{507BDAA5-5D60-4C15-B40F-17ED2A2009A3}" sibTransId="{B24C3552-F101-4B04-963D-7A5446E362A6}"/>
    <dgm:cxn modelId="{6712F406-1369-41C8-AF35-0521462751A8}" type="presOf" srcId="{09E63166-A391-45F7-9CF5-20DD422D3672}" destId="{2C4DD7EF-3EE4-4D52-AF29-F15DDDBDB3AB}" srcOrd="0" destOrd="0" presId="urn:microsoft.com/office/officeart/2005/8/layout/orgChart1"/>
    <dgm:cxn modelId="{DB97DA08-7912-4B89-977F-85DB284AB102}" type="presOf" srcId="{B62E018E-6D26-442C-A88E-FC4137FC36AA}" destId="{68099FBE-9D5C-4F69-AF82-B0EA51AA9AEF}" srcOrd="0" destOrd="0" presId="urn:microsoft.com/office/officeart/2005/8/layout/orgChart1"/>
    <dgm:cxn modelId="{15E4360A-1D62-426E-ACCF-0AAA33FBB9AC}" type="presOf" srcId="{78CCC3D6-DB53-40B8-A895-2ED306B40325}" destId="{2574D187-7C90-49B5-836B-EB21E4E3B4FA}" srcOrd="0" destOrd="0" presId="urn:microsoft.com/office/officeart/2005/8/layout/orgChart1"/>
    <dgm:cxn modelId="{EBF80E0C-0090-4354-BCAB-EF6FF701977E}" type="presOf" srcId="{3F246069-1707-4D60-8155-96BE0C60F0F3}" destId="{98753DE9-5EBC-4130-B46A-8CF8D8405716}" srcOrd="1" destOrd="0" presId="urn:microsoft.com/office/officeart/2005/8/layout/orgChart1"/>
    <dgm:cxn modelId="{815DAE0D-97C6-4504-BCEB-4655E2C19BA1}" type="presOf" srcId="{4443D19A-4504-49D1-8F89-961966A6DF8F}" destId="{D900244F-D4B9-48DA-8D50-E9FB131C7C1A}" srcOrd="0" destOrd="0" presId="urn:microsoft.com/office/officeart/2005/8/layout/orgChart1"/>
    <dgm:cxn modelId="{3D061411-05CF-492B-9B12-2C973851A20B}" srcId="{4443D19A-4504-49D1-8F89-961966A6DF8F}" destId="{17C57E96-7CD9-4C03-B3A1-F1D032890ABD}" srcOrd="0" destOrd="0" parTransId="{69EB26BF-1E2B-4DD8-851E-7D6BEE344023}" sibTransId="{9B3525B1-87F5-4C01-A611-B24C2DC62AD1}"/>
    <dgm:cxn modelId="{A3646A17-59EB-43B1-B918-4857E1A2BD1B}" type="presOf" srcId="{D0D67D20-C4D0-46F0-B95D-00FD34CE9305}" destId="{7BA21248-A16F-4381-84A7-EAC6F51647C5}" srcOrd="0" destOrd="0" presId="urn:microsoft.com/office/officeart/2005/8/layout/orgChart1"/>
    <dgm:cxn modelId="{89926A18-39DA-4A55-BF13-D82F8D957DD2}" srcId="{EE8E4861-C3ED-486D-ACD5-2470781CB6BE}" destId="{1C19BCB7-44BC-4A40-AAB7-CBEF59B22E71}" srcOrd="1" destOrd="0" parTransId="{7C18ADF6-7D4A-4E3F-BB28-11393995E91F}" sibTransId="{8E50C124-2C8B-4CEF-8EEC-52D9724071DC}"/>
    <dgm:cxn modelId="{D8D8C918-C338-42D3-A1BA-5AA20C219569}" type="presOf" srcId="{A181DD67-964E-4078-B928-AACFE40A25C0}" destId="{DFC19704-1EBE-404D-A622-2148BA913DCF}" srcOrd="0" destOrd="0" presId="urn:microsoft.com/office/officeart/2005/8/layout/orgChart1"/>
    <dgm:cxn modelId="{5B616419-64E1-49E0-9298-395808BCA7C4}" type="presOf" srcId="{59CA719F-02C6-4A92-A150-7439A3038EF9}" destId="{BB3A5E1C-28C7-404F-95FD-F1FCA7427642}" srcOrd="1" destOrd="0" presId="urn:microsoft.com/office/officeart/2005/8/layout/orgChart1"/>
    <dgm:cxn modelId="{61C1781C-506C-459B-9E59-C84E914BFA63}" srcId="{1C19BCB7-44BC-4A40-AAB7-CBEF59B22E71}" destId="{10FECBC0-26B1-4704-B627-57CB76A83C3E}" srcOrd="0" destOrd="0" parTransId="{29456C04-F344-4F67-B341-B7EB85DD1B9C}" sibTransId="{BBF2B39E-4F34-49BB-AB1B-3E310B8525E5}"/>
    <dgm:cxn modelId="{8148A41C-0231-43DD-B0F1-5C7286B08E6B}" type="presOf" srcId="{EE8E4861-C3ED-486D-ACD5-2470781CB6BE}" destId="{F45ADA7D-C4FC-429F-9342-E958DF243FAC}" srcOrd="0" destOrd="0" presId="urn:microsoft.com/office/officeart/2005/8/layout/orgChart1"/>
    <dgm:cxn modelId="{8AE64F24-B41B-4D6D-9550-45077FD87135}" srcId="{F457AA1A-FC01-4017-9D2E-D901E23CC1DD}" destId="{8444E147-2180-4B40-8FA0-8898DF3A00CA}" srcOrd="0" destOrd="0" parTransId="{F76BB486-653A-43C1-B18E-1C91D0C8997A}" sibTransId="{EA2F14F0-7B9D-43E8-86A4-2B7FDC03AE1E}"/>
    <dgm:cxn modelId="{87D27425-1505-4BC8-A234-AF5A62C0CA60}" type="presOf" srcId="{A95CF817-D95B-4022-A09F-A7A724243C30}" destId="{51E7A138-A6B3-41C4-BF38-1DFAC2DCADC7}" srcOrd="0" destOrd="0" presId="urn:microsoft.com/office/officeart/2005/8/layout/orgChart1"/>
    <dgm:cxn modelId="{AA27E425-3BFE-4AA3-89A4-B7986D1D5CFA}" srcId="{A181DD67-964E-4078-B928-AACFE40A25C0}" destId="{EE8E4861-C3ED-486D-ACD5-2470781CB6BE}" srcOrd="0" destOrd="0" parTransId="{CADB8DA8-3FEC-4F43-80A2-E2669CA56C05}" sibTransId="{2F9DC07F-F16F-4A58-8802-E1258D40D7D6}"/>
    <dgm:cxn modelId="{9807DB27-08EA-436D-825A-C1870C0D111A}" type="presOf" srcId="{507BDAA5-5D60-4C15-B40F-17ED2A2009A3}" destId="{563AE486-9CDE-4E5A-978A-4A2F7C3A4672}" srcOrd="0" destOrd="0" presId="urn:microsoft.com/office/officeart/2005/8/layout/orgChart1"/>
    <dgm:cxn modelId="{9CC3D733-B644-4B20-B7FA-947CF7E6C075}" srcId="{10FECBC0-26B1-4704-B627-57CB76A83C3E}" destId="{A95CF817-D95B-4022-A09F-A7A724243C30}" srcOrd="0" destOrd="0" parTransId="{E2F99618-1324-4869-A305-C8AD7DB94EBC}" sibTransId="{231BE64A-4912-4710-B7F0-1F12AA82C4CC}"/>
    <dgm:cxn modelId="{EDB23636-0DD2-4DBF-82D8-0B1AF7A326C7}" srcId="{17C57E96-7CD9-4C03-B3A1-F1D032890ABD}" destId="{FF605BF2-5191-4099-8062-9516A4F5706D}" srcOrd="0" destOrd="0" parTransId="{3F2ABC22-06C2-4B2C-A642-2B75E427B632}" sibTransId="{934D92B5-5E90-4FA5-9098-071303B18392}"/>
    <dgm:cxn modelId="{6C2B1139-FFE4-4815-A5EB-1F0525252359}" type="presOf" srcId="{EE8E4861-C3ED-486D-ACD5-2470781CB6BE}" destId="{79B95A52-87B4-4FDC-AA7D-16A86F1EC09D}" srcOrd="1" destOrd="0" presId="urn:microsoft.com/office/officeart/2005/8/layout/orgChart1"/>
    <dgm:cxn modelId="{7D322A5F-B6D1-4486-BF5B-A3326EDCA283}" type="presOf" srcId="{A055D5C0-12C1-4AC9-A509-84204F85DF40}" destId="{603BD15C-0FB8-458C-B149-2D8182359395}" srcOrd="1" destOrd="0" presId="urn:microsoft.com/office/officeart/2005/8/layout/orgChart1"/>
    <dgm:cxn modelId="{F6D74043-8AC4-4966-A807-4A280AFC69A0}" type="presOf" srcId="{4443D19A-4504-49D1-8F89-961966A6DF8F}" destId="{24BC185D-EC5D-46EE-BBD5-020AE418443E}" srcOrd="1" destOrd="0" presId="urn:microsoft.com/office/officeart/2005/8/layout/orgChart1"/>
    <dgm:cxn modelId="{23DACA44-F45D-419B-9C43-8A3BF0A2504D}" type="presOf" srcId="{69EB26BF-1E2B-4DD8-851E-7D6BEE344023}" destId="{2EF14CEF-F6CE-40CC-9F9F-08C80595BF36}" srcOrd="0" destOrd="0" presId="urn:microsoft.com/office/officeart/2005/8/layout/orgChart1"/>
    <dgm:cxn modelId="{42DB4967-5B24-4A3B-98C9-79686F668501}" type="presOf" srcId="{10FECBC0-26B1-4704-B627-57CB76A83C3E}" destId="{0762C9CF-57EB-4744-933D-12996288B43A}" srcOrd="1" destOrd="0" presId="urn:microsoft.com/office/officeart/2005/8/layout/orgChart1"/>
    <dgm:cxn modelId="{EBB1E547-BDC0-408B-974F-6C86A704985B}" type="presOf" srcId="{B0AAFD5E-83F5-48D2-AAF4-1E067628F8FD}" destId="{04B115E8-F26F-41EA-B6C4-3612AFA1413E}" srcOrd="0" destOrd="0" presId="urn:microsoft.com/office/officeart/2005/8/layout/orgChart1"/>
    <dgm:cxn modelId="{353F0048-130A-4C9D-937A-E9DA35DC3C5D}" type="presOf" srcId="{A95CF817-D95B-4022-A09F-A7A724243C30}" destId="{5E2D9057-188B-4385-B5D6-D494A32C52DD}" srcOrd="1" destOrd="0" presId="urn:microsoft.com/office/officeart/2005/8/layout/orgChart1"/>
    <dgm:cxn modelId="{D6C85C49-3701-40F6-985D-DC63C21D08F2}" type="presOf" srcId="{56AF2CE4-AC21-4438-A55E-408418920F4F}" destId="{4C345BB2-400B-4E93-9369-28186AF6B042}" srcOrd="1" destOrd="0" presId="urn:microsoft.com/office/officeart/2005/8/layout/orgChart1"/>
    <dgm:cxn modelId="{390C6D52-BDED-49E3-904E-02E92E903D4D}" type="presOf" srcId="{1C19BCB7-44BC-4A40-AAB7-CBEF59B22E71}" destId="{BF958495-894D-4275-93F4-E01640FFBC02}" srcOrd="1" destOrd="0" presId="urn:microsoft.com/office/officeart/2005/8/layout/orgChart1"/>
    <dgm:cxn modelId="{FA1E7D74-52A4-49C4-8249-A73F1BCA284C}" type="presOf" srcId="{3F246069-1707-4D60-8155-96BE0C60F0F3}" destId="{F20F0AFB-1595-4097-BAED-08E74194EDD6}" srcOrd="0" destOrd="0" presId="urn:microsoft.com/office/officeart/2005/8/layout/orgChart1"/>
    <dgm:cxn modelId="{E339E054-1E36-4B19-AD11-9E15B93B4217}" type="presOf" srcId="{E2F99618-1324-4869-A305-C8AD7DB94EBC}" destId="{FBE6B697-DFF9-4C2D-A872-D7A5C8F8BC6F}" srcOrd="0" destOrd="0" presId="urn:microsoft.com/office/officeart/2005/8/layout/orgChart1"/>
    <dgm:cxn modelId="{54DC9F75-9323-4BBA-9D70-AA6634F36B32}" type="presOf" srcId="{10FECBC0-26B1-4704-B627-57CB76A83C3E}" destId="{BB7B4530-5D59-4F82-90A2-EFD83ADB2411}" srcOrd="0" destOrd="0" presId="urn:microsoft.com/office/officeart/2005/8/layout/orgChart1"/>
    <dgm:cxn modelId="{848AED78-17F6-4198-8D42-29EC98A3534E}" srcId="{56AF2CE4-AC21-4438-A55E-408418920F4F}" destId="{D0D67D20-C4D0-46F0-B95D-00FD34CE9305}" srcOrd="0" destOrd="0" parTransId="{AF7CABD1-B362-409A-9396-DF9557EF23E3}" sibTransId="{574E29AE-EBBB-4D52-AF30-869A98959E0A}"/>
    <dgm:cxn modelId="{780F1D81-96A2-470A-A73E-6366089B0729}" type="presOf" srcId="{A6CE334C-7D40-44F0-978B-BD5C3D531A3C}" destId="{25B3CB86-A867-4C00-9A00-E5F409551B3A}" srcOrd="0" destOrd="0" presId="urn:microsoft.com/office/officeart/2005/8/layout/orgChart1"/>
    <dgm:cxn modelId="{6D76A983-234F-46F3-84A6-268F9D36D5C4}" srcId="{EE8E4861-C3ED-486D-ACD5-2470781CB6BE}" destId="{68B30F11-1BC9-4DC6-9534-2716DC6551F2}" srcOrd="2" destOrd="0" parTransId="{9C1E2A02-74EA-4ADF-88F5-2A3B20540F82}" sibTransId="{CB5DB30B-2330-48D8-95A3-320246A5062E}"/>
    <dgm:cxn modelId="{4E1DD388-4C78-42B2-A685-B0EA26CFA4A4}" type="presOf" srcId="{9C1E2A02-74EA-4ADF-88F5-2A3B20540F82}" destId="{EDCCCFA9-7913-4859-9BC8-E61E9FE03150}" srcOrd="0" destOrd="0" presId="urn:microsoft.com/office/officeart/2005/8/layout/orgChart1"/>
    <dgm:cxn modelId="{4952A88F-9071-40BB-87DB-EF300E484C06}" type="presOf" srcId="{59CA719F-02C6-4A92-A150-7439A3038EF9}" destId="{3861CCBF-3F77-4174-B7FA-0DC5568C8E1A}" srcOrd="0" destOrd="0" presId="urn:microsoft.com/office/officeart/2005/8/layout/orgChart1"/>
    <dgm:cxn modelId="{37411B91-F5C0-42A7-AC23-0C8D168561CC}" type="presOf" srcId="{52801D01-F22E-4FB7-9834-A949775C873E}" destId="{2155B8E4-8E9D-4E49-8543-2F5E89B73F7F}" srcOrd="0" destOrd="0" presId="urn:microsoft.com/office/officeart/2005/8/layout/orgChart1"/>
    <dgm:cxn modelId="{4903AA91-209E-4366-B88E-C89C4D49AC7E}" type="presOf" srcId="{8444E147-2180-4B40-8FA0-8898DF3A00CA}" destId="{F89C8CAA-A29D-456C-A187-090B0AC55021}" srcOrd="0" destOrd="0" presId="urn:microsoft.com/office/officeart/2005/8/layout/orgChart1"/>
    <dgm:cxn modelId="{BAE48E95-8982-4BEA-B494-BC64378D5FDA}" type="presOf" srcId="{F457AA1A-FC01-4017-9D2E-D901E23CC1DD}" destId="{8CF4E9B2-41E1-4864-A8ED-B61599AE0A77}" srcOrd="1" destOrd="0" presId="urn:microsoft.com/office/officeart/2005/8/layout/orgChart1"/>
    <dgm:cxn modelId="{AEA37E99-3F8B-47D6-8DDC-857CD13EDE73}" type="presOf" srcId="{8444E147-2180-4B40-8FA0-8898DF3A00CA}" destId="{33450EF5-1454-4A21-836C-89474381CB27}" srcOrd="1" destOrd="0" presId="urn:microsoft.com/office/officeart/2005/8/layout/orgChart1"/>
    <dgm:cxn modelId="{A3E2C09D-6869-43C9-A1CD-BF5F00419CF9}" type="presOf" srcId="{17C57E96-7CD9-4C03-B3A1-F1D032890ABD}" destId="{C3F08A0C-12A6-40E8-9C03-DD8AD0F863E5}" srcOrd="0" destOrd="0" presId="urn:microsoft.com/office/officeart/2005/8/layout/orgChart1"/>
    <dgm:cxn modelId="{6740BA9E-8D80-48E2-BB80-0D98A0F9D1AC}" srcId="{A95CF817-D95B-4022-A09F-A7A724243C30}" destId="{3F246069-1707-4D60-8155-96BE0C60F0F3}" srcOrd="0" destOrd="0" parTransId="{A6CE334C-7D40-44F0-978B-BD5C3D531A3C}" sibTransId="{33F54189-A312-45FC-880B-FF689C550DB9}"/>
    <dgm:cxn modelId="{58F71BA0-118E-4FD9-A7C4-DBFF8CFF7733}" type="presOf" srcId="{379637A1-6C0A-486E-B690-4E34205BD7EA}" destId="{6EBF5634-1998-4312-82E8-5B0A2CCB0086}" srcOrd="0" destOrd="0" presId="urn:microsoft.com/office/officeart/2005/8/layout/orgChart1"/>
    <dgm:cxn modelId="{678763A2-FB0E-437C-B811-FD8EDE49C0E3}" type="presOf" srcId="{68B30F11-1BC9-4DC6-9534-2716DC6551F2}" destId="{6FABC1F1-0D1F-4976-B277-9429429EAB66}" srcOrd="0" destOrd="0" presId="urn:microsoft.com/office/officeart/2005/8/layout/orgChart1"/>
    <dgm:cxn modelId="{5C0E1AA3-FBA4-4041-93EA-912CD436938D}" srcId="{F457AA1A-FC01-4017-9D2E-D901E23CC1DD}" destId="{59CA719F-02C6-4A92-A150-7439A3038EF9}" srcOrd="1" destOrd="0" parTransId="{D193966E-613E-49FF-AC77-F631E86E5074}" sibTransId="{F05D3EAE-E788-4AED-8137-A7B7621EDAEA}"/>
    <dgm:cxn modelId="{DDE899A6-0A4C-4BFE-889A-3E80475F3A58}" type="presOf" srcId="{1EFC52AD-F9D0-4AAE-8117-F949D35E0FCA}" destId="{F5876B00-2149-4659-AA75-F7EF89DD23F3}" srcOrd="0" destOrd="0" presId="urn:microsoft.com/office/officeart/2005/8/layout/orgChart1"/>
    <dgm:cxn modelId="{930737A8-314A-447A-879B-61CC3C1CABD4}" srcId="{09E63166-A391-45F7-9CF5-20DD422D3672}" destId="{A055D5C0-12C1-4AC9-A509-84204F85DF40}" srcOrd="0" destOrd="0" parTransId="{97757D7F-5258-42DF-90BF-960EB9300BC0}" sibTransId="{A6674964-C64F-4DDC-8C16-F10C03C5252D}"/>
    <dgm:cxn modelId="{A0376DB0-FB63-4FA3-A5A0-DBAE222BFB94}" type="presOf" srcId="{AF7CABD1-B362-409A-9396-DF9557EF23E3}" destId="{8CDF090C-5AD8-4FC3-BA8D-519670590BBA}" srcOrd="0" destOrd="0" presId="urn:microsoft.com/office/officeart/2005/8/layout/orgChart1"/>
    <dgm:cxn modelId="{C6B5DDB8-205C-4217-9F7B-169C0B65004C}" type="presOf" srcId="{09E63166-A391-45F7-9CF5-20DD422D3672}" destId="{84418E5F-9AB8-42B7-AAFD-5F38E9D9D908}" srcOrd="1" destOrd="0" presId="urn:microsoft.com/office/officeart/2005/8/layout/orgChart1"/>
    <dgm:cxn modelId="{15E34ABB-AFE2-4717-B7E0-B1B05AF18F40}" type="presOf" srcId="{68B30F11-1BC9-4DC6-9534-2716DC6551F2}" destId="{A31FDF6E-289E-4828-B65A-356B716758B9}" srcOrd="1" destOrd="0" presId="urn:microsoft.com/office/officeart/2005/8/layout/orgChart1"/>
    <dgm:cxn modelId="{7A9EDFBB-CC1A-4B98-ADCC-198B7826224F}" type="presOf" srcId="{A055D5C0-12C1-4AC9-A509-84204F85DF40}" destId="{F3A62363-9571-41E8-8909-54093C6C392F}" srcOrd="0" destOrd="0" presId="urn:microsoft.com/office/officeart/2005/8/layout/orgChart1"/>
    <dgm:cxn modelId="{2B0E25BC-FCA4-4611-8F69-342FBE9EB6A1}" srcId="{68B30F11-1BC9-4DC6-9534-2716DC6551F2}" destId="{1EFC52AD-F9D0-4AAE-8117-F949D35E0FCA}" srcOrd="0" destOrd="0" parTransId="{52801D01-F22E-4FB7-9834-A949775C873E}" sibTransId="{00B106AD-8F5E-4590-8353-2A4AAE45FB89}"/>
    <dgm:cxn modelId="{17E72CBC-1934-455D-A799-8F52417866C0}" type="presOf" srcId="{FF605BF2-5191-4099-8062-9516A4F5706D}" destId="{0566ECE3-E535-41DD-94E9-69BEC91A517A}" srcOrd="0" destOrd="0" presId="urn:microsoft.com/office/officeart/2005/8/layout/orgChart1"/>
    <dgm:cxn modelId="{B0CB1FBD-C46C-4461-8A96-34CD2ED174E0}" type="presOf" srcId="{FF605BF2-5191-4099-8062-9516A4F5706D}" destId="{B6296C64-8727-4F1A-B7AC-7B1D224ECC76}" srcOrd="1" destOrd="0" presId="urn:microsoft.com/office/officeart/2005/8/layout/orgChart1"/>
    <dgm:cxn modelId="{1415A9C2-B634-4216-AEBD-9C0B08339D82}" type="presOf" srcId="{97757D7F-5258-42DF-90BF-960EB9300BC0}" destId="{C170A6F4-0FBC-414E-A964-7557C1D1391D}" srcOrd="0" destOrd="0" presId="urn:microsoft.com/office/officeart/2005/8/layout/orgChart1"/>
    <dgm:cxn modelId="{36FCCCC5-3D99-49F6-918D-5D36E4C656C6}" srcId="{EE8E4861-C3ED-486D-ACD5-2470781CB6BE}" destId="{379637A1-6C0A-486E-B690-4E34205BD7EA}" srcOrd="0" destOrd="0" parTransId="{B62E018E-6D26-442C-A88E-FC4137FC36AA}" sibTransId="{36F9AB60-3326-4F64-9E92-FB6B694C3585}"/>
    <dgm:cxn modelId="{A2CF3CC9-8C03-4BA2-A76D-FFE24625B49B}" type="presOf" srcId="{7C18ADF6-7D4A-4E3F-BB28-11393995E91F}" destId="{5A519C59-9849-49AC-A4C3-C2D51FCECE44}" srcOrd="0" destOrd="0" presId="urn:microsoft.com/office/officeart/2005/8/layout/orgChart1"/>
    <dgm:cxn modelId="{26A3B6CE-CA30-4E2D-9B2C-677B3B431056}" srcId="{379637A1-6C0A-486E-B690-4E34205BD7EA}" destId="{F457AA1A-FC01-4017-9D2E-D901E23CC1DD}" srcOrd="0" destOrd="0" parTransId="{78CCC3D6-DB53-40B8-A895-2ED306B40325}" sibTransId="{D2312A09-AA15-41C3-9DD6-FA4B0AC9BA0B}"/>
    <dgm:cxn modelId="{3FD5EDD5-BE2D-408D-AAD3-1D941D412EC3}" type="presOf" srcId="{8A3C6B0B-65B0-4837-B9F8-A8ED6DE48A60}" destId="{0670636C-8B13-4FF2-9F32-D43EF8360A98}" srcOrd="0" destOrd="0" presId="urn:microsoft.com/office/officeart/2005/8/layout/orgChart1"/>
    <dgm:cxn modelId="{17C5DBD6-942A-482A-8560-61908095ED51}" type="presOf" srcId="{379637A1-6C0A-486E-B690-4E34205BD7EA}" destId="{5C2C835C-5399-4D2B-BA72-40F1C2E0B644}" srcOrd="1" destOrd="0" presId="urn:microsoft.com/office/officeart/2005/8/layout/orgChart1"/>
    <dgm:cxn modelId="{DA9556D8-A1FF-46AD-A3FF-0E0B1C8D0EA8}" type="presOf" srcId="{29456C04-F344-4F67-B341-B7EB85DD1B9C}" destId="{65ADF6F5-96BD-444D-B832-17ECA4588C8F}" srcOrd="0" destOrd="0" presId="urn:microsoft.com/office/officeart/2005/8/layout/orgChart1"/>
    <dgm:cxn modelId="{CBC0D3DB-8F0C-4AF6-B1A1-F7D537DC6044}" srcId="{FF605BF2-5191-4099-8062-9516A4F5706D}" destId="{09E63166-A391-45F7-9CF5-20DD422D3672}" srcOrd="0" destOrd="0" parTransId="{8A3C6B0B-65B0-4837-B9F8-A8ED6DE48A60}" sibTransId="{8BBA6162-D402-4720-8289-0EF01F4605D0}"/>
    <dgm:cxn modelId="{7D53B4DF-AC55-43F2-966B-BE69811987EF}" type="presOf" srcId="{3F2ABC22-06C2-4B2C-A642-2B75E427B632}" destId="{ABDCE4B4-F0AC-4DC7-8F6F-DB754A0F48D7}" srcOrd="0" destOrd="0" presId="urn:microsoft.com/office/officeart/2005/8/layout/orgChart1"/>
    <dgm:cxn modelId="{59F3D0E3-4904-4ABB-B86A-9940D9724170}" type="presOf" srcId="{1EFC52AD-F9D0-4AAE-8117-F949D35E0FCA}" destId="{7745BD8F-C06D-403D-8A94-079AA50B449E}" srcOrd="1" destOrd="0" presId="urn:microsoft.com/office/officeart/2005/8/layout/orgChart1"/>
    <dgm:cxn modelId="{EFE2CFE4-7ACA-4BD1-A109-D1436DAC08DF}" type="presOf" srcId="{56AF2CE4-AC21-4438-A55E-408418920F4F}" destId="{53C2D9BD-84A0-45AB-91B7-EC350FE98A41}" srcOrd="0" destOrd="0" presId="urn:microsoft.com/office/officeart/2005/8/layout/orgChart1"/>
    <dgm:cxn modelId="{78C78FEE-EE2C-440F-AD1A-E475C07EEA2A}" type="presOf" srcId="{F457AA1A-FC01-4017-9D2E-D901E23CC1DD}" destId="{907369D2-5C97-4C24-8361-700BA9639EE4}" srcOrd="0" destOrd="0" presId="urn:microsoft.com/office/officeart/2005/8/layout/orgChart1"/>
    <dgm:cxn modelId="{A13218F0-4774-471E-8D80-F8CBE25FD1EF}" type="presOf" srcId="{F76BB486-653A-43C1-B18E-1C91D0C8997A}" destId="{B0F7CBBC-F975-47B4-8E77-AE73A7AFD691}" srcOrd="0" destOrd="0" presId="urn:microsoft.com/office/officeart/2005/8/layout/orgChart1"/>
    <dgm:cxn modelId="{A3194CF0-21C1-49AF-9B3A-7AFC69D6EDD2}" type="presOf" srcId="{17C57E96-7CD9-4C03-B3A1-F1D032890ABD}" destId="{61E82AB9-B789-48C5-985F-ABA20E0A8CCD}" srcOrd="1" destOrd="0" presId="urn:microsoft.com/office/officeart/2005/8/layout/orgChart1"/>
    <dgm:cxn modelId="{B95924F3-1B79-490F-B237-D23FEC7F1630}" type="presOf" srcId="{1C19BCB7-44BC-4A40-AAB7-CBEF59B22E71}" destId="{FD6E09B4-0E35-4E5A-A979-246DE837364A}" srcOrd="0" destOrd="0" presId="urn:microsoft.com/office/officeart/2005/8/layout/orgChart1"/>
    <dgm:cxn modelId="{E8832177-4C50-4AA5-B360-A20B81AEDAFC}" type="presParOf" srcId="{DFC19704-1EBE-404D-A622-2148BA913DCF}" destId="{B05E131F-5D33-415D-9EF7-418F76DD0E1C}" srcOrd="0" destOrd="0" presId="urn:microsoft.com/office/officeart/2005/8/layout/orgChart1"/>
    <dgm:cxn modelId="{98859091-D80A-4113-98F7-39D441031B6D}" type="presParOf" srcId="{B05E131F-5D33-415D-9EF7-418F76DD0E1C}" destId="{491CFBC8-6028-4A97-944A-44FEBE670D2E}" srcOrd="0" destOrd="0" presId="urn:microsoft.com/office/officeart/2005/8/layout/orgChart1"/>
    <dgm:cxn modelId="{970032B3-8388-47FE-90EB-41ABB871FEC0}" type="presParOf" srcId="{491CFBC8-6028-4A97-944A-44FEBE670D2E}" destId="{F45ADA7D-C4FC-429F-9342-E958DF243FAC}" srcOrd="0" destOrd="0" presId="urn:microsoft.com/office/officeart/2005/8/layout/orgChart1"/>
    <dgm:cxn modelId="{219B1AE6-5FE4-49A5-871D-3F9394295957}" type="presParOf" srcId="{491CFBC8-6028-4A97-944A-44FEBE670D2E}" destId="{79B95A52-87B4-4FDC-AA7D-16A86F1EC09D}" srcOrd="1" destOrd="0" presId="urn:microsoft.com/office/officeart/2005/8/layout/orgChart1"/>
    <dgm:cxn modelId="{86CB6784-9B9C-4C7C-822A-A06CA65AA9AD}" type="presParOf" srcId="{B05E131F-5D33-415D-9EF7-418F76DD0E1C}" destId="{28F60EDE-E65E-4771-AA05-88F9B6DE7C36}" srcOrd="1" destOrd="0" presId="urn:microsoft.com/office/officeart/2005/8/layout/orgChart1"/>
    <dgm:cxn modelId="{1698F1B5-3260-4343-A847-DBE6419D862E}" type="presParOf" srcId="{28F60EDE-E65E-4771-AA05-88F9B6DE7C36}" destId="{68099FBE-9D5C-4F69-AF82-B0EA51AA9AEF}" srcOrd="0" destOrd="0" presId="urn:microsoft.com/office/officeart/2005/8/layout/orgChart1"/>
    <dgm:cxn modelId="{8BDA3D02-5745-44D4-9890-901407DB786B}" type="presParOf" srcId="{28F60EDE-E65E-4771-AA05-88F9B6DE7C36}" destId="{089A77D7-36D1-4C58-834D-03235670F285}" srcOrd="1" destOrd="0" presId="urn:microsoft.com/office/officeart/2005/8/layout/orgChart1"/>
    <dgm:cxn modelId="{DFC806A5-3185-4B48-A5C0-97297D2B2C86}" type="presParOf" srcId="{089A77D7-36D1-4C58-834D-03235670F285}" destId="{0C3025F5-3EF8-4124-B9CE-2691AF656F74}" srcOrd="0" destOrd="0" presId="urn:microsoft.com/office/officeart/2005/8/layout/orgChart1"/>
    <dgm:cxn modelId="{082AD8F9-E1E2-45FE-8184-F3D8D6712A91}" type="presParOf" srcId="{0C3025F5-3EF8-4124-B9CE-2691AF656F74}" destId="{6EBF5634-1998-4312-82E8-5B0A2CCB0086}" srcOrd="0" destOrd="0" presId="urn:microsoft.com/office/officeart/2005/8/layout/orgChart1"/>
    <dgm:cxn modelId="{28946568-A6F6-46FA-9FF7-3F606E3D83CB}" type="presParOf" srcId="{0C3025F5-3EF8-4124-B9CE-2691AF656F74}" destId="{5C2C835C-5399-4D2B-BA72-40F1C2E0B644}" srcOrd="1" destOrd="0" presId="urn:microsoft.com/office/officeart/2005/8/layout/orgChart1"/>
    <dgm:cxn modelId="{07EC9883-76EC-49BB-A54E-56EFA7703CF8}" type="presParOf" srcId="{089A77D7-36D1-4C58-834D-03235670F285}" destId="{6B9357A5-E44C-4D53-AE77-219EA0456E74}" srcOrd="1" destOrd="0" presId="urn:microsoft.com/office/officeart/2005/8/layout/orgChart1"/>
    <dgm:cxn modelId="{58395FB5-B7A0-46A9-B894-5A6E33738287}" type="presParOf" srcId="{6B9357A5-E44C-4D53-AE77-219EA0456E74}" destId="{2574D187-7C90-49B5-836B-EB21E4E3B4FA}" srcOrd="0" destOrd="0" presId="urn:microsoft.com/office/officeart/2005/8/layout/orgChart1"/>
    <dgm:cxn modelId="{D398C39B-8BF0-48F6-BCFB-EE4366F02B46}" type="presParOf" srcId="{6B9357A5-E44C-4D53-AE77-219EA0456E74}" destId="{360349E8-29EA-48D6-AE19-80295E397082}" srcOrd="1" destOrd="0" presId="urn:microsoft.com/office/officeart/2005/8/layout/orgChart1"/>
    <dgm:cxn modelId="{8C3C1C5E-A822-4035-ADF4-EF4E9CC9C56D}" type="presParOf" srcId="{360349E8-29EA-48D6-AE19-80295E397082}" destId="{818428C3-DCF1-4662-8587-F29561F94A7B}" srcOrd="0" destOrd="0" presId="urn:microsoft.com/office/officeart/2005/8/layout/orgChart1"/>
    <dgm:cxn modelId="{24245870-3745-40DE-808C-5AD4BB2EBE80}" type="presParOf" srcId="{818428C3-DCF1-4662-8587-F29561F94A7B}" destId="{907369D2-5C97-4C24-8361-700BA9639EE4}" srcOrd="0" destOrd="0" presId="urn:microsoft.com/office/officeart/2005/8/layout/orgChart1"/>
    <dgm:cxn modelId="{D8C05423-EE66-4E6E-8A51-6E03437C524C}" type="presParOf" srcId="{818428C3-DCF1-4662-8587-F29561F94A7B}" destId="{8CF4E9B2-41E1-4864-A8ED-B61599AE0A77}" srcOrd="1" destOrd="0" presId="urn:microsoft.com/office/officeart/2005/8/layout/orgChart1"/>
    <dgm:cxn modelId="{CB3EA45D-48E6-437A-A670-257A4BF86B92}" type="presParOf" srcId="{360349E8-29EA-48D6-AE19-80295E397082}" destId="{BE1A6960-3082-4021-A05C-7E822914083B}" srcOrd="1" destOrd="0" presId="urn:microsoft.com/office/officeart/2005/8/layout/orgChart1"/>
    <dgm:cxn modelId="{1816256F-60BB-4D1F-B88E-C33C288F1496}" type="presParOf" srcId="{BE1A6960-3082-4021-A05C-7E822914083B}" destId="{B0F7CBBC-F975-47B4-8E77-AE73A7AFD691}" srcOrd="0" destOrd="0" presId="urn:microsoft.com/office/officeart/2005/8/layout/orgChart1"/>
    <dgm:cxn modelId="{8B1ACBA8-131F-4FA2-8C99-740B9FBE412C}" type="presParOf" srcId="{BE1A6960-3082-4021-A05C-7E822914083B}" destId="{62EBDE22-543D-4B9A-92A6-2F3139710BE7}" srcOrd="1" destOrd="0" presId="urn:microsoft.com/office/officeart/2005/8/layout/orgChart1"/>
    <dgm:cxn modelId="{BA29E71A-F083-4D95-8689-DBD6E777277C}" type="presParOf" srcId="{62EBDE22-543D-4B9A-92A6-2F3139710BE7}" destId="{E2E6B004-5108-4E6C-B0F8-45C4B484310E}" srcOrd="0" destOrd="0" presId="urn:microsoft.com/office/officeart/2005/8/layout/orgChart1"/>
    <dgm:cxn modelId="{88FFE180-0841-49CA-BD0D-38FE47CAA51D}" type="presParOf" srcId="{E2E6B004-5108-4E6C-B0F8-45C4B484310E}" destId="{F89C8CAA-A29D-456C-A187-090B0AC55021}" srcOrd="0" destOrd="0" presId="urn:microsoft.com/office/officeart/2005/8/layout/orgChart1"/>
    <dgm:cxn modelId="{A944E6BE-ED13-49F3-9B11-B7BFAEFE45A1}" type="presParOf" srcId="{E2E6B004-5108-4E6C-B0F8-45C4B484310E}" destId="{33450EF5-1454-4A21-836C-89474381CB27}" srcOrd="1" destOrd="0" presId="urn:microsoft.com/office/officeart/2005/8/layout/orgChart1"/>
    <dgm:cxn modelId="{EC486741-4738-42BC-966A-F0646FBD3403}" type="presParOf" srcId="{62EBDE22-543D-4B9A-92A6-2F3139710BE7}" destId="{6E656843-EC4B-4F13-A23A-D9D3CD643DFB}" srcOrd="1" destOrd="0" presId="urn:microsoft.com/office/officeart/2005/8/layout/orgChart1"/>
    <dgm:cxn modelId="{5844E086-62AA-4A9B-B824-B876D01BBFC1}" type="presParOf" srcId="{62EBDE22-543D-4B9A-92A6-2F3139710BE7}" destId="{82E18123-0D76-4B20-AA58-E0B50B9A3975}" srcOrd="2" destOrd="0" presId="urn:microsoft.com/office/officeart/2005/8/layout/orgChart1"/>
    <dgm:cxn modelId="{C91AF121-1050-4278-A1BC-381524CA2423}" type="presParOf" srcId="{BE1A6960-3082-4021-A05C-7E822914083B}" destId="{A6187971-76E0-4BC4-9D32-B06303BA9141}" srcOrd="2" destOrd="0" presId="urn:microsoft.com/office/officeart/2005/8/layout/orgChart1"/>
    <dgm:cxn modelId="{4826EDA5-B9F2-459A-9E81-22696328EF59}" type="presParOf" srcId="{BE1A6960-3082-4021-A05C-7E822914083B}" destId="{018D1894-051F-4713-B38C-DB8A05ADF3A4}" srcOrd="3" destOrd="0" presId="urn:microsoft.com/office/officeart/2005/8/layout/orgChart1"/>
    <dgm:cxn modelId="{468D507F-25E5-4911-BD2C-EEEC90A77127}" type="presParOf" srcId="{018D1894-051F-4713-B38C-DB8A05ADF3A4}" destId="{C73619BB-668D-4A9C-9467-18B36139F4E7}" srcOrd="0" destOrd="0" presId="urn:microsoft.com/office/officeart/2005/8/layout/orgChart1"/>
    <dgm:cxn modelId="{46F1C47C-BE2C-4B82-8C24-67F72D9109C7}" type="presParOf" srcId="{C73619BB-668D-4A9C-9467-18B36139F4E7}" destId="{3861CCBF-3F77-4174-B7FA-0DC5568C8E1A}" srcOrd="0" destOrd="0" presId="urn:microsoft.com/office/officeart/2005/8/layout/orgChart1"/>
    <dgm:cxn modelId="{21713D3B-EBCA-45D8-B61E-CA502176E275}" type="presParOf" srcId="{C73619BB-668D-4A9C-9467-18B36139F4E7}" destId="{BB3A5E1C-28C7-404F-95FD-F1FCA7427642}" srcOrd="1" destOrd="0" presId="urn:microsoft.com/office/officeart/2005/8/layout/orgChart1"/>
    <dgm:cxn modelId="{F1089916-44B9-491A-B0E7-874175F87E44}" type="presParOf" srcId="{018D1894-051F-4713-B38C-DB8A05ADF3A4}" destId="{9A2ACEB8-8874-4513-91AB-9A02E0DD2EDD}" srcOrd="1" destOrd="0" presId="urn:microsoft.com/office/officeart/2005/8/layout/orgChart1"/>
    <dgm:cxn modelId="{4E7DE4CE-3463-4004-87B1-DDE99073E72F}" type="presParOf" srcId="{018D1894-051F-4713-B38C-DB8A05ADF3A4}" destId="{F5F58FCA-6DBE-4566-BB06-1BEE7CBF6E1C}" srcOrd="2" destOrd="0" presId="urn:microsoft.com/office/officeart/2005/8/layout/orgChart1"/>
    <dgm:cxn modelId="{8A816571-1912-409E-B273-A2BBBF5BDC53}" type="presParOf" srcId="{360349E8-29EA-48D6-AE19-80295E397082}" destId="{6D7D8152-D67A-41C8-B50A-DEF3B426424C}" srcOrd="2" destOrd="0" presId="urn:microsoft.com/office/officeart/2005/8/layout/orgChart1"/>
    <dgm:cxn modelId="{02757B3F-C318-4D7F-8F78-CB0F80543FB7}" type="presParOf" srcId="{089A77D7-36D1-4C58-834D-03235670F285}" destId="{EB9C542E-4874-4567-BD39-CC0F7991A418}" srcOrd="2" destOrd="0" presId="urn:microsoft.com/office/officeart/2005/8/layout/orgChart1"/>
    <dgm:cxn modelId="{93A7D10E-25C3-4C8D-936E-8D821DB17F34}" type="presParOf" srcId="{28F60EDE-E65E-4771-AA05-88F9B6DE7C36}" destId="{5A519C59-9849-49AC-A4C3-C2D51FCECE44}" srcOrd="2" destOrd="0" presId="urn:microsoft.com/office/officeart/2005/8/layout/orgChart1"/>
    <dgm:cxn modelId="{0CFEC563-BF9B-446A-BC9D-FBE2CAE6DF19}" type="presParOf" srcId="{28F60EDE-E65E-4771-AA05-88F9B6DE7C36}" destId="{2DA24420-4DE8-4EC4-B08D-98E490602589}" srcOrd="3" destOrd="0" presId="urn:microsoft.com/office/officeart/2005/8/layout/orgChart1"/>
    <dgm:cxn modelId="{9677E21C-1AA3-4307-8946-C4B3B941C298}" type="presParOf" srcId="{2DA24420-4DE8-4EC4-B08D-98E490602589}" destId="{FB6C7482-7A42-4A2F-AE57-3F8301925A48}" srcOrd="0" destOrd="0" presId="urn:microsoft.com/office/officeart/2005/8/layout/orgChart1"/>
    <dgm:cxn modelId="{5CCB40D9-A34D-41A4-8F4F-FDAB36CC69A9}" type="presParOf" srcId="{FB6C7482-7A42-4A2F-AE57-3F8301925A48}" destId="{FD6E09B4-0E35-4E5A-A979-246DE837364A}" srcOrd="0" destOrd="0" presId="urn:microsoft.com/office/officeart/2005/8/layout/orgChart1"/>
    <dgm:cxn modelId="{6C22DAB6-88FE-44EB-803F-35D0062ABE68}" type="presParOf" srcId="{FB6C7482-7A42-4A2F-AE57-3F8301925A48}" destId="{BF958495-894D-4275-93F4-E01640FFBC02}" srcOrd="1" destOrd="0" presId="urn:microsoft.com/office/officeart/2005/8/layout/orgChart1"/>
    <dgm:cxn modelId="{9BBA1D5A-353F-4AF7-A1C5-B777C15C083F}" type="presParOf" srcId="{2DA24420-4DE8-4EC4-B08D-98E490602589}" destId="{99D33391-B844-46FC-8124-F528B4F77F89}" srcOrd="1" destOrd="0" presId="urn:microsoft.com/office/officeart/2005/8/layout/orgChart1"/>
    <dgm:cxn modelId="{5CC58C78-17F3-44CD-B595-20761F9AA182}" type="presParOf" srcId="{99D33391-B844-46FC-8124-F528B4F77F89}" destId="{65ADF6F5-96BD-444D-B832-17ECA4588C8F}" srcOrd="0" destOrd="0" presId="urn:microsoft.com/office/officeart/2005/8/layout/orgChart1"/>
    <dgm:cxn modelId="{DC3F942D-007A-4383-BCE2-E7B9D2C67FEA}" type="presParOf" srcId="{99D33391-B844-46FC-8124-F528B4F77F89}" destId="{A6217BE8-0312-421A-A4F6-EDB41F5CD729}" srcOrd="1" destOrd="0" presId="urn:microsoft.com/office/officeart/2005/8/layout/orgChart1"/>
    <dgm:cxn modelId="{CEE4ABCC-2821-4E81-B576-B0CE53635899}" type="presParOf" srcId="{A6217BE8-0312-421A-A4F6-EDB41F5CD729}" destId="{A9A2E4A5-DF8A-4FEF-BA50-65249AAD67AC}" srcOrd="0" destOrd="0" presId="urn:microsoft.com/office/officeart/2005/8/layout/orgChart1"/>
    <dgm:cxn modelId="{166FFB61-C906-4C79-9A88-2586BEC62FA2}" type="presParOf" srcId="{A9A2E4A5-DF8A-4FEF-BA50-65249AAD67AC}" destId="{BB7B4530-5D59-4F82-90A2-EFD83ADB2411}" srcOrd="0" destOrd="0" presId="urn:microsoft.com/office/officeart/2005/8/layout/orgChart1"/>
    <dgm:cxn modelId="{C8AB0CA1-CB1C-4041-A0A9-2E1CE6A10BE7}" type="presParOf" srcId="{A9A2E4A5-DF8A-4FEF-BA50-65249AAD67AC}" destId="{0762C9CF-57EB-4744-933D-12996288B43A}" srcOrd="1" destOrd="0" presId="urn:microsoft.com/office/officeart/2005/8/layout/orgChart1"/>
    <dgm:cxn modelId="{A65138CA-6FDA-4F59-9AA7-7F482A992845}" type="presParOf" srcId="{A6217BE8-0312-421A-A4F6-EDB41F5CD729}" destId="{56252A8C-AC9C-4609-9A18-FB70034B470E}" srcOrd="1" destOrd="0" presId="urn:microsoft.com/office/officeart/2005/8/layout/orgChart1"/>
    <dgm:cxn modelId="{837A4EA2-080A-4AE7-B726-5EF318F2A6A9}" type="presParOf" srcId="{56252A8C-AC9C-4609-9A18-FB70034B470E}" destId="{FBE6B697-DFF9-4C2D-A872-D7A5C8F8BC6F}" srcOrd="0" destOrd="0" presId="urn:microsoft.com/office/officeart/2005/8/layout/orgChart1"/>
    <dgm:cxn modelId="{5357FC63-E150-4859-87F5-7642FE670C3A}" type="presParOf" srcId="{56252A8C-AC9C-4609-9A18-FB70034B470E}" destId="{1CF1C01B-711B-4227-B1DD-2B2C77DDF841}" srcOrd="1" destOrd="0" presId="urn:microsoft.com/office/officeart/2005/8/layout/orgChart1"/>
    <dgm:cxn modelId="{6C4A2223-779E-4E54-8B6B-3D65C4AF3D16}" type="presParOf" srcId="{1CF1C01B-711B-4227-B1DD-2B2C77DDF841}" destId="{AB22FBDA-8BB5-4117-A4DF-49CA7211DB12}" srcOrd="0" destOrd="0" presId="urn:microsoft.com/office/officeart/2005/8/layout/orgChart1"/>
    <dgm:cxn modelId="{A39FAF4C-603E-4F4E-A740-32DEE05BDA2D}" type="presParOf" srcId="{AB22FBDA-8BB5-4117-A4DF-49CA7211DB12}" destId="{51E7A138-A6B3-41C4-BF38-1DFAC2DCADC7}" srcOrd="0" destOrd="0" presId="urn:microsoft.com/office/officeart/2005/8/layout/orgChart1"/>
    <dgm:cxn modelId="{FDD296C2-1E8C-4B0D-AABC-CE25C1A8FA88}" type="presParOf" srcId="{AB22FBDA-8BB5-4117-A4DF-49CA7211DB12}" destId="{5E2D9057-188B-4385-B5D6-D494A32C52DD}" srcOrd="1" destOrd="0" presId="urn:microsoft.com/office/officeart/2005/8/layout/orgChart1"/>
    <dgm:cxn modelId="{BC96E81E-DBB3-424F-932B-4F03872450DB}" type="presParOf" srcId="{1CF1C01B-711B-4227-B1DD-2B2C77DDF841}" destId="{2526DCAC-F22D-4EAF-98D3-B5642DBB69A2}" srcOrd="1" destOrd="0" presId="urn:microsoft.com/office/officeart/2005/8/layout/orgChart1"/>
    <dgm:cxn modelId="{AD4079DF-9F45-446A-B366-2F95CA35DFC1}" type="presParOf" srcId="{2526DCAC-F22D-4EAF-98D3-B5642DBB69A2}" destId="{25B3CB86-A867-4C00-9A00-E5F409551B3A}" srcOrd="0" destOrd="0" presId="urn:microsoft.com/office/officeart/2005/8/layout/orgChart1"/>
    <dgm:cxn modelId="{3FED414F-5ECF-41B3-A09D-85081E178344}" type="presParOf" srcId="{2526DCAC-F22D-4EAF-98D3-B5642DBB69A2}" destId="{1AEB0681-36B6-4DB4-863A-C5A1450861A9}" srcOrd="1" destOrd="0" presId="urn:microsoft.com/office/officeart/2005/8/layout/orgChart1"/>
    <dgm:cxn modelId="{1D549D59-7EB1-4054-8235-0EAA3733A181}" type="presParOf" srcId="{1AEB0681-36B6-4DB4-863A-C5A1450861A9}" destId="{32E29667-6FFE-4B3D-BE7D-6127E7F3ADCE}" srcOrd="0" destOrd="0" presId="urn:microsoft.com/office/officeart/2005/8/layout/orgChart1"/>
    <dgm:cxn modelId="{29D686CC-8047-4BB3-8F51-4CA0E5F6F684}" type="presParOf" srcId="{32E29667-6FFE-4B3D-BE7D-6127E7F3ADCE}" destId="{F20F0AFB-1595-4097-BAED-08E74194EDD6}" srcOrd="0" destOrd="0" presId="urn:microsoft.com/office/officeart/2005/8/layout/orgChart1"/>
    <dgm:cxn modelId="{E78C0C02-F49E-4B65-A014-953C0C477FAC}" type="presParOf" srcId="{32E29667-6FFE-4B3D-BE7D-6127E7F3ADCE}" destId="{98753DE9-5EBC-4130-B46A-8CF8D8405716}" srcOrd="1" destOrd="0" presId="urn:microsoft.com/office/officeart/2005/8/layout/orgChart1"/>
    <dgm:cxn modelId="{FF6D6543-80A3-4666-8293-0E08211AF7A5}" type="presParOf" srcId="{1AEB0681-36B6-4DB4-863A-C5A1450861A9}" destId="{A16345A9-7085-47CC-8989-405A78FCD2CC}" srcOrd="1" destOrd="0" presId="urn:microsoft.com/office/officeart/2005/8/layout/orgChart1"/>
    <dgm:cxn modelId="{7998985D-9523-440F-A250-80A31DFDFBB2}" type="presParOf" srcId="{1AEB0681-36B6-4DB4-863A-C5A1450861A9}" destId="{7AE7CD4A-F939-4FAA-A9A6-8B5750D535AA}" srcOrd="2" destOrd="0" presId="urn:microsoft.com/office/officeart/2005/8/layout/orgChart1"/>
    <dgm:cxn modelId="{EE9B8678-BE63-4B3C-8D9D-CDF54D5392A2}" type="presParOf" srcId="{1CF1C01B-711B-4227-B1DD-2B2C77DDF841}" destId="{DDE7ED89-6A95-491C-A1B0-BFBFC6C807E2}" srcOrd="2" destOrd="0" presId="urn:microsoft.com/office/officeart/2005/8/layout/orgChart1"/>
    <dgm:cxn modelId="{2E3816B6-7B48-46AF-81C4-6F234C9ED3A0}" type="presParOf" srcId="{A6217BE8-0312-421A-A4F6-EDB41F5CD729}" destId="{3DAC6559-F268-4ABC-9665-80A81DB7AD93}" srcOrd="2" destOrd="0" presId="urn:microsoft.com/office/officeart/2005/8/layout/orgChart1"/>
    <dgm:cxn modelId="{570FF53E-6326-45E5-B12B-B1C062BEDCB8}" type="presParOf" srcId="{2DA24420-4DE8-4EC4-B08D-98E490602589}" destId="{3E79350C-CE5C-4780-BA99-C5DFC61638E4}" srcOrd="2" destOrd="0" presId="urn:microsoft.com/office/officeart/2005/8/layout/orgChart1"/>
    <dgm:cxn modelId="{A49E6518-A155-40F8-86B6-6C0BDBD52B4A}" type="presParOf" srcId="{28F60EDE-E65E-4771-AA05-88F9B6DE7C36}" destId="{EDCCCFA9-7913-4859-9BC8-E61E9FE03150}" srcOrd="4" destOrd="0" presId="urn:microsoft.com/office/officeart/2005/8/layout/orgChart1"/>
    <dgm:cxn modelId="{F17A7E28-BE20-4BAA-BF4B-27F09736FBF3}" type="presParOf" srcId="{28F60EDE-E65E-4771-AA05-88F9B6DE7C36}" destId="{209DE6E4-10B4-4BD3-8171-CEE41624E9E0}" srcOrd="5" destOrd="0" presId="urn:microsoft.com/office/officeart/2005/8/layout/orgChart1"/>
    <dgm:cxn modelId="{391D1D9A-2756-420A-BC1F-D88F2B856F3A}" type="presParOf" srcId="{209DE6E4-10B4-4BD3-8171-CEE41624E9E0}" destId="{21D78E1B-E374-47D6-91AA-063F54E97E82}" srcOrd="0" destOrd="0" presId="urn:microsoft.com/office/officeart/2005/8/layout/orgChart1"/>
    <dgm:cxn modelId="{429D1D18-E6F9-43AC-995A-43E7FE2036DC}" type="presParOf" srcId="{21D78E1B-E374-47D6-91AA-063F54E97E82}" destId="{6FABC1F1-0D1F-4976-B277-9429429EAB66}" srcOrd="0" destOrd="0" presId="urn:microsoft.com/office/officeart/2005/8/layout/orgChart1"/>
    <dgm:cxn modelId="{9465A02D-E85A-4EA8-AE40-E5F61CF6B90D}" type="presParOf" srcId="{21D78E1B-E374-47D6-91AA-063F54E97E82}" destId="{A31FDF6E-289E-4828-B65A-356B716758B9}" srcOrd="1" destOrd="0" presId="urn:microsoft.com/office/officeart/2005/8/layout/orgChart1"/>
    <dgm:cxn modelId="{FF4172AB-672C-4B77-91F2-B6D66675362A}" type="presParOf" srcId="{209DE6E4-10B4-4BD3-8171-CEE41624E9E0}" destId="{5C031C61-8196-4E92-A5E0-B1A769B067A3}" srcOrd="1" destOrd="0" presId="urn:microsoft.com/office/officeart/2005/8/layout/orgChart1"/>
    <dgm:cxn modelId="{B890D987-A104-4F3F-AF98-4B886F2BB075}" type="presParOf" srcId="{5C031C61-8196-4E92-A5E0-B1A769B067A3}" destId="{2155B8E4-8E9D-4E49-8543-2F5E89B73F7F}" srcOrd="0" destOrd="0" presId="urn:microsoft.com/office/officeart/2005/8/layout/orgChart1"/>
    <dgm:cxn modelId="{037F3A8C-0122-4B2F-882E-B95BE32AE8D6}" type="presParOf" srcId="{5C031C61-8196-4E92-A5E0-B1A769B067A3}" destId="{8D3338FA-529F-4C22-84FF-903EBD2D9926}" srcOrd="1" destOrd="0" presId="urn:microsoft.com/office/officeart/2005/8/layout/orgChart1"/>
    <dgm:cxn modelId="{4D2828D1-D28F-4EEC-8C90-289DCD10E01A}" type="presParOf" srcId="{8D3338FA-529F-4C22-84FF-903EBD2D9926}" destId="{B55E3A95-5EF7-4498-B384-2CD45F503E02}" srcOrd="0" destOrd="0" presId="urn:microsoft.com/office/officeart/2005/8/layout/orgChart1"/>
    <dgm:cxn modelId="{BC406CBF-FAF4-4AD0-B2A5-ADC557D215E9}" type="presParOf" srcId="{B55E3A95-5EF7-4498-B384-2CD45F503E02}" destId="{F5876B00-2149-4659-AA75-F7EF89DD23F3}" srcOrd="0" destOrd="0" presId="urn:microsoft.com/office/officeart/2005/8/layout/orgChart1"/>
    <dgm:cxn modelId="{48C92257-905F-4CC6-A01F-45D78B1B94D7}" type="presParOf" srcId="{B55E3A95-5EF7-4498-B384-2CD45F503E02}" destId="{7745BD8F-C06D-403D-8A94-079AA50B449E}" srcOrd="1" destOrd="0" presId="urn:microsoft.com/office/officeart/2005/8/layout/orgChart1"/>
    <dgm:cxn modelId="{6419DC3E-29B4-4B2A-BCA2-E9FF76935AE7}" type="presParOf" srcId="{8D3338FA-529F-4C22-84FF-903EBD2D9926}" destId="{F7FF81A2-1176-4C97-8237-7EC4FE4A8EB0}" srcOrd="1" destOrd="0" presId="urn:microsoft.com/office/officeart/2005/8/layout/orgChart1"/>
    <dgm:cxn modelId="{2827EE58-88F5-403E-830F-B29D281F4AE2}" type="presParOf" srcId="{F7FF81A2-1176-4C97-8237-7EC4FE4A8EB0}" destId="{04B115E8-F26F-41EA-B6C4-3612AFA1413E}" srcOrd="0" destOrd="0" presId="urn:microsoft.com/office/officeart/2005/8/layout/orgChart1"/>
    <dgm:cxn modelId="{F7BA0DD3-D02C-43CA-8B05-465A9E85EB35}" type="presParOf" srcId="{F7FF81A2-1176-4C97-8237-7EC4FE4A8EB0}" destId="{AD8A1961-08A7-439B-AD69-15E82A043A7A}" srcOrd="1" destOrd="0" presId="urn:microsoft.com/office/officeart/2005/8/layout/orgChart1"/>
    <dgm:cxn modelId="{95813A2C-ADAA-483C-A824-573E09E79937}" type="presParOf" srcId="{AD8A1961-08A7-439B-AD69-15E82A043A7A}" destId="{B090576D-E246-49E5-872C-E70CA3ECB9DE}" srcOrd="0" destOrd="0" presId="urn:microsoft.com/office/officeart/2005/8/layout/orgChart1"/>
    <dgm:cxn modelId="{81D2424F-174C-4B18-9AB1-C25C2E4F5DE1}" type="presParOf" srcId="{B090576D-E246-49E5-872C-E70CA3ECB9DE}" destId="{53C2D9BD-84A0-45AB-91B7-EC350FE98A41}" srcOrd="0" destOrd="0" presId="urn:microsoft.com/office/officeart/2005/8/layout/orgChart1"/>
    <dgm:cxn modelId="{85C40BAF-4849-4883-9752-5A5B787DADA5}" type="presParOf" srcId="{B090576D-E246-49E5-872C-E70CA3ECB9DE}" destId="{4C345BB2-400B-4E93-9369-28186AF6B042}" srcOrd="1" destOrd="0" presId="urn:microsoft.com/office/officeart/2005/8/layout/orgChart1"/>
    <dgm:cxn modelId="{66119EC9-3DC7-45AA-9CC7-EA4620CAB99B}" type="presParOf" srcId="{AD8A1961-08A7-439B-AD69-15E82A043A7A}" destId="{779BBD33-E2EE-4185-8DA8-FED504B517A3}" srcOrd="1" destOrd="0" presId="urn:microsoft.com/office/officeart/2005/8/layout/orgChart1"/>
    <dgm:cxn modelId="{40D18991-2E5A-44D0-B82E-26528ACA3F9D}" type="presParOf" srcId="{779BBD33-E2EE-4185-8DA8-FED504B517A3}" destId="{8CDF090C-5AD8-4FC3-BA8D-519670590BBA}" srcOrd="0" destOrd="0" presId="urn:microsoft.com/office/officeart/2005/8/layout/orgChart1"/>
    <dgm:cxn modelId="{18F56912-7E81-45D6-AA28-66EB0EDB5567}" type="presParOf" srcId="{779BBD33-E2EE-4185-8DA8-FED504B517A3}" destId="{275E8412-A48E-488A-9830-FC73280966B1}" srcOrd="1" destOrd="0" presId="urn:microsoft.com/office/officeart/2005/8/layout/orgChart1"/>
    <dgm:cxn modelId="{E1EE68F8-373B-407D-A38A-0F8CC77CBB9D}" type="presParOf" srcId="{275E8412-A48E-488A-9830-FC73280966B1}" destId="{9EE3C67F-C444-42E8-97C5-198F051D5862}" srcOrd="0" destOrd="0" presId="urn:microsoft.com/office/officeart/2005/8/layout/orgChart1"/>
    <dgm:cxn modelId="{B08C9A4B-BDF2-4F70-8043-1AF09B87D26B}" type="presParOf" srcId="{9EE3C67F-C444-42E8-97C5-198F051D5862}" destId="{7BA21248-A16F-4381-84A7-EAC6F51647C5}" srcOrd="0" destOrd="0" presId="urn:microsoft.com/office/officeart/2005/8/layout/orgChart1"/>
    <dgm:cxn modelId="{5EC41EE9-F857-489C-9C41-345C65E3D2CE}" type="presParOf" srcId="{9EE3C67F-C444-42E8-97C5-198F051D5862}" destId="{194276D4-EA25-4417-AD20-A2041FE81042}" srcOrd="1" destOrd="0" presId="urn:microsoft.com/office/officeart/2005/8/layout/orgChart1"/>
    <dgm:cxn modelId="{4A859F68-AD4F-43E8-9A10-BFD4DBF23911}" type="presParOf" srcId="{275E8412-A48E-488A-9830-FC73280966B1}" destId="{3E25F58B-F368-4548-8438-6C0D50E0EE06}" srcOrd="1" destOrd="0" presId="urn:microsoft.com/office/officeart/2005/8/layout/orgChart1"/>
    <dgm:cxn modelId="{7EF8E5B0-86E6-4420-9D3D-9F2BBE089CBD}" type="presParOf" srcId="{275E8412-A48E-488A-9830-FC73280966B1}" destId="{7E026730-74E5-46CE-BAE5-2AAD729AEA05}" srcOrd="2" destOrd="0" presId="urn:microsoft.com/office/officeart/2005/8/layout/orgChart1"/>
    <dgm:cxn modelId="{A0E31987-0492-4F24-A2FB-66EB9D87B72B}" type="presParOf" srcId="{AD8A1961-08A7-439B-AD69-15E82A043A7A}" destId="{7C0485A5-1B2A-4FA5-A3A7-31BF5E510D69}" srcOrd="2" destOrd="0" presId="urn:microsoft.com/office/officeart/2005/8/layout/orgChart1"/>
    <dgm:cxn modelId="{5777E346-521B-42BB-A2E6-487D7878A4FC}" type="presParOf" srcId="{8D3338FA-529F-4C22-84FF-903EBD2D9926}" destId="{B3B9E129-B4B8-4829-BFBD-39D9976C7ABF}" srcOrd="2" destOrd="0" presId="urn:microsoft.com/office/officeart/2005/8/layout/orgChart1"/>
    <dgm:cxn modelId="{4E9EA255-0A04-4903-B869-D1B205C6D1DC}" type="presParOf" srcId="{209DE6E4-10B4-4BD3-8171-CEE41624E9E0}" destId="{B0D50F2C-B452-4555-9E90-14B3A2593A31}" srcOrd="2" destOrd="0" presId="urn:microsoft.com/office/officeart/2005/8/layout/orgChart1"/>
    <dgm:cxn modelId="{A70725B6-919E-4A51-9F05-1EA754F20F02}" type="presParOf" srcId="{28F60EDE-E65E-4771-AA05-88F9B6DE7C36}" destId="{563AE486-9CDE-4E5A-978A-4A2F7C3A4672}" srcOrd="6" destOrd="0" presId="urn:microsoft.com/office/officeart/2005/8/layout/orgChart1"/>
    <dgm:cxn modelId="{A133EF6D-3D19-461F-A1BC-E7B5B0A90D4B}" type="presParOf" srcId="{28F60EDE-E65E-4771-AA05-88F9B6DE7C36}" destId="{230B41FA-5F41-4938-8A49-2202AF32130A}" srcOrd="7" destOrd="0" presId="urn:microsoft.com/office/officeart/2005/8/layout/orgChart1"/>
    <dgm:cxn modelId="{AC15EE25-4348-490B-BDE3-18DB4FA3D04D}" type="presParOf" srcId="{230B41FA-5F41-4938-8A49-2202AF32130A}" destId="{EAECC217-FA08-44C5-923B-B676D84498A4}" srcOrd="0" destOrd="0" presId="urn:microsoft.com/office/officeart/2005/8/layout/orgChart1"/>
    <dgm:cxn modelId="{97D0A29F-FFF6-4544-99A3-CE91C650EF0C}" type="presParOf" srcId="{EAECC217-FA08-44C5-923B-B676D84498A4}" destId="{D900244F-D4B9-48DA-8D50-E9FB131C7C1A}" srcOrd="0" destOrd="0" presId="urn:microsoft.com/office/officeart/2005/8/layout/orgChart1"/>
    <dgm:cxn modelId="{41C15A80-4724-4160-B63A-271C9A63CC25}" type="presParOf" srcId="{EAECC217-FA08-44C5-923B-B676D84498A4}" destId="{24BC185D-EC5D-46EE-BBD5-020AE418443E}" srcOrd="1" destOrd="0" presId="urn:microsoft.com/office/officeart/2005/8/layout/orgChart1"/>
    <dgm:cxn modelId="{AC556233-F1AA-4013-8BFC-B6432A84DA0D}" type="presParOf" srcId="{230B41FA-5F41-4938-8A49-2202AF32130A}" destId="{411ABD1F-828A-4905-BD07-6574861F31E6}" srcOrd="1" destOrd="0" presId="urn:microsoft.com/office/officeart/2005/8/layout/orgChart1"/>
    <dgm:cxn modelId="{A483DB09-D26D-418D-AFF3-3C21A0BC138C}" type="presParOf" srcId="{411ABD1F-828A-4905-BD07-6574861F31E6}" destId="{2EF14CEF-F6CE-40CC-9F9F-08C80595BF36}" srcOrd="0" destOrd="0" presId="urn:microsoft.com/office/officeart/2005/8/layout/orgChart1"/>
    <dgm:cxn modelId="{66B87C75-C45F-41D9-AABD-BB31BE861A24}" type="presParOf" srcId="{411ABD1F-828A-4905-BD07-6574861F31E6}" destId="{22AFDDE2-6AD3-4D23-9F17-E44D9ABC6F6C}" srcOrd="1" destOrd="0" presId="urn:microsoft.com/office/officeart/2005/8/layout/orgChart1"/>
    <dgm:cxn modelId="{CA163F1D-86ED-4CC3-931B-7ABD08AD4FEE}" type="presParOf" srcId="{22AFDDE2-6AD3-4D23-9F17-E44D9ABC6F6C}" destId="{C998F149-0F1A-48DB-8BE6-3A4C78AB61F7}" srcOrd="0" destOrd="0" presId="urn:microsoft.com/office/officeart/2005/8/layout/orgChart1"/>
    <dgm:cxn modelId="{7DE7CCC5-0696-4C01-A045-C182297A09A0}" type="presParOf" srcId="{C998F149-0F1A-48DB-8BE6-3A4C78AB61F7}" destId="{C3F08A0C-12A6-40E8-9C03-DD8AD0F863E5}" srcOrd="0" destOrd="0" presId="urn:microsoft.com/office/officeart/2005/8/layout/orgChart1"/>
    <dgm:cxn modelId="{862A2783-ACE4-48EB-A712-45A5F1BA7ACA}" type="presParOf" srcId="{C998F149-0F1A-48DB-8BE6-3A4C78AB61F7}" destId="{61E82AB9-B789-48C5-985F-ABA20E0A8CCD}" srcOrd="1" destOrd="0" presId="urn:microsoft.com/office/officeart/2005/8/layout/orgChart1"/>
    <dgm:cxn modelId="{D3E76462-68CA-4EB7-875B-2AA859F92CD1}" type="presParOf" srcId="{22AFDDE2-6AD3-4D23-9F17-E44D9ABC6F6C}" destId="{F745CFEE-1973-41AB-875E-053778E3F477}" srcOrd="1" destOrd="0" presId="urn:microsoft.com/office/officeart/2005/8/layout/orgChart1"/>
    <dgm:cxn modelId="{7A9721E8-CE69-4623-8782-80A310C58AD1}" type="presParOf" srcId="{F745CFEE-1973-41AB-875E-053778E3F477}" destId="{ABDCE4B4-F0AC-4DC7-8F6F-DB754A0F48D7}" srcOrd="0" destOrd="0" presId="urn:microsoft.com/office/officeart/2005/8/layout/orgChart1"/>
    <dgm:cxn modelId="{5E6A666A-72E9-4690-A48C-29351609F487}" type="presParOf" srcId="{F745CFEE-1973-41AB-875E-053778E3F477}" destId="{F54BF891-4549-4D85-9475-B6391FBECE3A}" srcOrd="1" destOrd="0" presId="urn:microsoft.com/office/officeart/2005/8/layout/orgChart1"/>
    <dgm:cxn modelId="{57C64DFB-4196-42F3-AE92-F3C5423CF7CD}" type="presParOf" srcId="{F54BF891-4549-4D85-9475-B6391FBECE3A}" destId="{E6AA33B5-6389-4AA1-8693-6E1153F9CAF9}" srcOrd="0" destOrd="0" presId="urn:microsoft.com/office/officeart/2005/8/layout/orgChart1"/>
    <dgm:cxn modelId="{BA463614-4028-4C1D-B722-DDD06CEDB7A4}" type="presParOf" srcId="{E6AA33B5-6389-4AA1-8693-6E1153F9CAF9}" destId="{0566ECE3-E535-41DD-94E9-69BEC91A517A}" srcOrd="0" destOrd="0" presId="urn:microsoft.com/office/officeart/2005/8/layout/orgChart1"/>
    <dgm:cxn modelId="{AFBC2033-6CC1-4282-BFA4-84923725C904}" type="presParOf" srcId="{E6AA33B5-6389-4AA1-8693-6E1153F9CAF9}" destId="{B6296C64-8727-4F1A-B7AC-7B1D224ECC76}" srcOrd="1" destOrd="0" presId="urn:microsoft.com/office/officeart/2005/8/layout/orgChart1"/>
    <dgm:cxn modelId="{5B5962FC-5F16-4FEB-8A68-7CF22D09557D}" type="presParOf" srcId="{F54BF891-4549-4D85-9475-B6391FBECE3A}" destId="{ED0BC117-873B-43DD-85BC-2667B7FF5A2D}" srcOrd="1" destOrd="0" presId="urn:microsoft.com/office/officeart/2005/8/layout/orgChart1"/>
    <dgm:cxn modelId="{C3E20D2D-4374-46EA-B5E9-95B9442291F9}" type="presParOf" srcId="{ED0BC117-873B-43DD-85BC-2667B7FF5A2D}" destId="{0670636C-8B13-4FF2-9F32-D43EF8360A98}" srcOrd="0" destOrd="0" presId="urn:microsoft.com/office/officeart/2005/8/layout/orgChart1"/>
    <dgm:cxn modelId="{EC9E8B4D-BC81-4D7F-B42C-1E7FE1D658A5}" type="presParOf" srcId="{ED0BC117-873B-43DD-85BC-2667B7FF5A2D}" destId="{2C406101-7ACA-4298-8E66-23ED65BAD511}" srcOrd="1" destOrd="0" presId="urn:microsoft.com/office/officeart/2005/8/layout/orgChart1"/>
    <dgm:cxn modelId="{492C4608-1EC4-4A3B-B5C2-5CB206E227C3}" type="presParOf" srcId="{2C406101-7ACA-4298-8E66-23ED65BAD511}" destId="{3E182371-A7F7-40D5-A622-050B77126E6C}" srcOrd="0" destOrd="0" presId="urn:microsoft.com/office/officeart/2005/8/layout/orgChart1"/>
    <dgm:cxn modelId="{FB543076-2514-48F2-8038-1DFBDB1CCC18}" type="presParOf" srcId="{3E182371-A7F7-40D5-A622-050B77126E6C}" destId="{2C4DD7EF-3EE4-4D52-AF29-F15DDDBDB3AB}" srcOrd="0" destOrd="0" presId="urn:microsoft.com/office/officeart/2005/8/layout/orgChart1"/>
    <dgm:cxn modelId="{1F8BD633-D6A2-441D-B7E5-1D629F854212}" type="presParOf" srcId="{3E182371-A7F7-40D5-A622-050B77126E6C}" destId="{84418E5F-9AB8-42B7-AAFD-5F38E9D9D908}" srcOrd="1" destOrd="0" presId="urn:microsoft.com/office/officeart/2005/8/layout/orgChart1"/>
    <dgm:cxn modelId="{B77F3CA9-DB8E-4860-AA74-A9D78015B43C}" type="presParOf" srcId="{2C406101-7ACA-4298-8E66-23ED65BAD511}" destId="{DD57ABD1-834B-4511-868E-19ECCD827F95}" srcOrd="1" destOrd="0" presId="urn:microsoft.com/office/officeart/2005/8/layout/orgChart1"/>
    <dgm:cxn modelId="{D009B466-249F-4CD1-BA98-B2F6C030DC74}" type="presParOf" srcId="{DD57ABD1-834B-4511-868E-19ECCD827F95}" destId="{C170A6F4-0FBC-414E-A964-7557C1D1391D}" srcOrd="0" destOrd="0" presId="urn:microsoft.com/office/officeart/2005/8/layout/orgChart1"/>
    <dgm:cxn modelId="{BF1907AD-799E-4130-8975-586B59FD0F1A}" type="presParOf" srcId="{DD57ABD1-834B-4511-868E-19ECCD827F95}" destId="{ACB5A5A9-DE0B-4637-B80D-3F2D4E00CD5E}" srcOrd="1" destOrd="0" presId="urn:microsoft.com/office/officeart/2005/8/layout/orgChart1"/>
    <dgm:cxn modelId="{205BCCEF-ED84-4B3F-B50A-B7CD10415236}" type="presParOf" srcId="{ACB5A5A9-DE0B-4637-B80D-3F2D4E00CD5E}" destId="{9992E83F-2D1C-4A94-B4E8-684DC0CF1725}" srcOrd="0" destOrd="0" presId="urn:microsoft.com/office/officeart/2005/8/layout/orgChart1"/>
    <dgm:cxn modelId="{072F2014-BF77-4FE6-9C8E-4A51F05B484E}" type="presParOf" srcId="{9992E83F-2D1C-4A94-B4E8-684DC0CF1725}" destId="{F3A62363-9571-41E8-8909-54093C6C392F}" srcOrd="0" destOrd="0" presId="urn:microsoft.com/office/officeart/2005/8/layout/orgChart1"/>
    <dgm:cxn modelId="{AA7CC418-B4D7-43E7-B068-A79C748FC798}" type="presParOf" srcId="{9992E83F-2D1C-4A94-B4E8-684DC0CF1725}" destId="{603BD15C-0FB8-458C-B149-2D8182359395}" srcOrd="1" destOrd="0" presId="urn:microsoft.com/office/officeart/2005/8/layout/orgChart1"/>
    <dgm:cxn modelId="{816CB4D3-9652-4DA8-BE5C-AEC030D7EFB0}" type="presParOf" srcId="{ACB5A5A9-DE0B-4637-B80D-3F2D4E00CD5E}" destId="{2DA642EF-BB9E-4214-B190-A0C42BE1E85B}" srcOrd="1" destOrd="0" presId="urn:microsoft.com/office/officeart/2005/8/layout/orgChart1"/>
    <dgm:cxn modelId="{2985FFAD-B16B-40EE-B6BC-3658626747C4}" type="presParOf" srcId="{ACB5A5A9-DE0B-4637-B80D-3F2D4E00CD5E}" destId="{03528C0A-C45A-4D03-94A7-FF211B66B099}" srcOrd="2" destOrd="0" presId="urn:microsoft.com/office/officeart/2005/8/layout/orgChart1"/>
    <dgm:cxn modelId="{C7EA0B10-4CF0-4103-B314-3FBE4DED167A}" type="presParOf" srcId="{2C406101-7ACA-4298-8E66-23ED65BAD511}" destId="{89E8216C-4827-4A20-A74D-151A7EF89B66}" srcOrd="2" destOrd="0" presId="urn:microsoft.com/office/officeart/2005/8/layout/orgChart1"/>
    <dgm:cxn modelId="{FD5A683F-97BA-4C66-A294-FE1938BDE0C3}" type="presParOf" srcId="{F54BF891-4549-4D85-9475-B6391FBECE3A}" destId="{3294F3AF-FC5B-4D54-889D-2BA024B94592}" srcOrd="2" destOrd="0" presId="urn:microsoft.com/office/officeart/2005/8/layout/orgChart1"/>
    <dgm:cxn modelId="{458129C8-C1ED-4D7A-895B-EF42B43832A8}" type="presParOf" srcId="{22AFDDE2-6AD3-4D23-9F17-E44D9ABC6F6C}" destId="{CCF0887A-DD78-4AA6-856D-93ED33913F29}" srcOrd="2" destOrd="0" presId="urn:microsoft.com/office/officeart/2005/8/layout/orgChart1"/>
    <dgm:cxn modelId="{0700291A-2C9C-4A18-906F-24F64E0C4F42}" type="presParOf" srcId="{230B41FA-5F41-4938-8A49-2202AF32130A}" destId="{9A56D054-906F-440E-B5CD-6D7542E03A5E}" srcOrd="2" destOrd="0" presId="urn:microsoft.com/office/officeart/2005/8/layout/orgChart1"/>
    <dgm:cxn modelId="{A44FEB3A-F4C8-4814-87FB-4B9D4A0CD211}" type="presParOf" srcId="{B05E131F-5D33-415D-9EF7-418F76DD0E1C}" destId="{42D3796B-5905-4C4C-A946-E52C7A037B6F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170A6F4-0FBC-414E-A964-7557C1D1391D}">
      <dsp:nvSpPr>
        <dsp:cNvPr id="0" name=""/>
        <dsp:cNvSpPr/>
      </dsp:nvSpPr>
      <dsp:spPr>
        <a:xfrm>
          <a:off x="6421906" y="4944422"/>
          <a:ext cx="301854" cy="6879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7944"/>
              </a:lnTo>
              <a:lnTo>
                <a:pt x="301854" y="68794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70636C-8B13-4FF2-9F32-D43EF8360A98}">
      <dsp:nvSpPr>
        <dsp:cNvPr id="0" name=""/>
        <dsp:cNvSpPr/>
      </dsp:nvSpPr>
      <dsp:spPr>
        <a:xfrm>
          <a:off x="7014387" y="3816101"/>
          <a:ext cx="354274" cy="387719"/>
        </a:xfrm>
        <a:custGeom>
          <a:avLst/>
          <a:gdLst/>
          <a:ahLst/>
          <a:cxnLst/>
          <a:rect l="0" t="0" r="0" b="0"/>
          <a:pathLst>
            <a:path>
              <a:moveTo>
                <a:pt x="354274" y="0"/>
              </a:moveTo>
              <a:lnTo>
                <a:pt x="354274" y="232193"/>
              </a:lnTo>
              <a:lnTo>
                <a:pt x="0" y="232193"/>
              </a:lnTo>
              <a:lnTo>
                <a:pt x="0" y="38771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BDCE4B4-F0AC-4DC7-8F6F-DB754A0F48D7}">
      <dsp:nvSpPr>
        <dsp:cNvPr id="0" name=""/>
        <dsp:cNvSpPr/>
      </dsp:nvSpPr>
      <dsp:spPr>
        <a:xfrm>
          <a:off x="7178208" y="2805632"/>
          <a:ext cx="190453" cy="2698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4341"/>
              </a:lnTo>
              <a:lnTo>
                <a:pt x="190453" y="114341"/>
              </a:lnTo>
              <a:lnTo>
                <a:pt x="190453" y="26986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EF14CEF-F6CE-40CC-9F9F-08C80595BF36}">
      <dsp:nvSpPr>
        <dsp:cNvPr id="0" name=""/>
        <dsp:cNvSpPr/>
      </dsp:nvSpPr>
      <dsp:spPr>
        <a:xfrm>
          <a:off x="7048341" y="1796051"/>
          <a:ext cx="91440" cy="268979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13452"/>
              </a:lnTo>
              <a:lnTo>
                <a:pt x="129867" y="113452"/>
              </a:lnTo>
              <a:lnTo>
                <a:pt x="129867" y="26897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3AE486-9CDE-4E5A-978A-4A2F7C3A4672}">
      <dsp:nvSpPr>
        <dsp:cNvPr id="0" name=""/>
        <dsp:cNvSpPr/>
      </dsp:nvSpPr>
      <dsp:spPr>
        <a:xfrm>
          <a:off x="4150599" y="740601"/>
          <a:ext cx="2943461" cy="3148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9321"/>
              </a:lnTo>
              <a:lnTo>
                <a:pt x="2943461" y="159321"/>
              </a:lnTo>
              <a:lnTo>
                <a:pt x="2943461" y="3148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DF090C-5AD8-4FC3-BA8D-519670590BBA}">
      <dsp:nvSpPr>
        <dsp:cNvPr id="0" name=""/>
        <dsp:cNvSpPr/>
      </dsp:nvSpPr>
      <dsp:spPr>
        <a:xfrm>
          <a:off x="4494564" y="3899359"/>
          <a:ext cx="137100" cy="653862"/>
        </a:xfrm>
        <a:custGeom>
          <a:avLst/>
          <a:gdLst/>
          <a:ahLst/>
          <a:cxnLst/>
          <a:rect l="0" t="0" r="0" b="0"/>
          <a:pathLst>
            <a:path>
              <a:moveTo>
                <a:pt x="137100" y="0"/>
              </a:moveTo>
              <a:lnTo>
                <a:pt x="0" y="65386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4B115E8-F26F-41EA-B6C4-3612AFA1413E}">
      <dsp:nvSpPr>
        <dsp:cNvPr id="0" name=""/>
        <dsp:cNvSpPr/>
      </dsp:nvSpPr>
      <dsp:spPr>
        <a:xfrm>
          <a:off x="4931505" y="2767898"/>
          <a:ext cx="292641" cy="3908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5333"/>
              </a:lnTo>
              <a:lnTo>
                <a:pt x="292641" y="235333"/>
              </a:lnTo>
              <a:lnTo>
                <a:pt x="292641" y="39085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155B8E4-8E9D-4E49-8543-2F5E89B73F7F}">
      <dsp:nvSpPr>
        <dsp:cNvPr id="0" name=""/>
        <dsp:cNvSpPr/>
      </dsp:nvSpPr>
      <dsp:spPr>
        <a:xfrm>
          <a:off x="4885785" y="1796051"/>
          <a:ext cx="91440" cy="231245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3124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DCCCFA9-7913-4859-9BC8-E61E9FE03150}">
      <dsp:nvSpPr>
        <dsp:cNvPr id="0" name=""/>
        <dsp:cNvSpPr/>
      </dsp:nvSpPr>
      <dsp:spPr>
        <a:xfrm>
          <a:off x="4150599" y="740601"/>
          <a:ext cx="780905" cy="3148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9321"/>
              </a:lnTo>
              <a:lnTo>
                <a:pt x="780905" y="159321"/>
              </a:lnTo>
              <a:lnTo>
                <a:pt x="780905" y="3148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5B3CB86-A867-4C00-9A00-E5F409551B3A}">
      <dsp:nvSpPr>
        <dsp:cNvPr id="0" name=""/>
        <dsp:cNvSpPr/>
      </dsp:nvSpPr>
      <dsp:spPr>
        <a:xfrm>
          <a:off x="2546767" y="3899359"/>
          <a:ext cx="222180" cy="68135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1353"/>
              </a:lnTo>
              <a:lnTo>
                <a:pt x="222180" y="68135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BE6B697-DFF9-4C2D-A872-D7A5C8F8BC6F}">
      <dsp:nvSpPr>
        <dsp:cNvPr id="0" name=""/>
        <dsp:cNvSpPr/>
      </dsp:nvSpPr>
      <dsp:spPr>
        <a:xfrm>
          <a:off x="3093529" y="2847705"/>
          <a:ext cx="91440" cy="31105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1105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ADF6F5-96BD-444D-B832-17ECA4588C8F}">
      <dsp:nvSpPr>
        <dsp:cNvPr id="0" name=""/>
        <dsp:cNvSpPr/>
      </dsp:nvSpPr>
      <dsp:spPr>
        <a:xfrm>
          <a:off x="3093529" y="1796051"/>
          <a:ext cx="91440" cy="31105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1105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A519C59-9849-49AC-A4C3-C2D51FCECE44}">
      <dsp:nvSpPr>
        <dsp:cNvPr id="0" name=""/>
        <dsp:cNvSpPr/>
      </dsp:nvSpPr>
      <dsp:spPr>
        <a:xfrm>
          <a:off x="3139249" y="740601"/>
          <a:ext cx="1011350" cy="314848"/>
        </a:xfrm>
        <a:custGeom>
          <a:avLst/>
          <a:gdLst/>
          <a:ahLst/>
          <a:cxnLst/>
          <a:rect l="0" t="0" r="0" b="0"/>
          <a:pathLst>
            <a:path>
              <a:moveTo>
                <a:pt x="1011350" y="0"/>
              </a:moveTo>
              <a:lnTo>
                <a:pt x="1011350" y="159321"/>
              </a:lnTo>
              <a:lnTo>
                <a:pt x="0" y="159321"/>
              </a:lnTo>
              <a:lnTo>
                <a:pt x="0" y="3148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6187971-76E0-4BC4-9D32-B06303BA9141}">
      <dsp:nvSpPr>
        <dsp:cNvPr id="0" name=""/>
        <dsp:cNvSpPr/>
      </dsp:nvSpPr>
      <dsp:spPr>
        <a:xfrm>
          <a:off x="287863" y="2847705"/>
          <a:ext cx="91440" cy="1606320"/>
        </a:xfrm>
        <a:custGeom>
          <a:avLst/>
          <a:gdLst/>
          <a:ahLst/>
          <a:cxnLst/>
          <a:rect l="0" t="0" r="0" b="0"/>
          <a:pathLst>
            <a:path>
              <a:moveTo>
                <a:pt x="96347" y="0"/>
              </a:moveTo>
              <a:lnTo>
                <a:pt x="45720" y="16063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0F7CBBC-F975-47B4-8E77-AE73A7AFD691}">
      <dsp:nvSpPr>
        <dsp:cNvPr id="0" name=""/>
        <dsp:cNvSpPr/>
      </dsp:nvSpPr>
      <dsp:spPr>
        <a:xfrm>
          <a:off x="242193" y="2847705"/>
          <a:ext cx="142017" cy="586341"/>
        </a:xfrm>
        <a:custGeom>
          <a:avLst/>
          <a:gdLst/>
          <a:ahLst/>
          <a:cxnLst/>
          <a:rect l="0" t="0" r="0" b="0"/>
          <a:pathLst>
            <a:path>
              <a:moveTo>
                <a:pt x="142017" y="0"/>
              </a:moveTo>
              <a:lnTo>
                <a:pt x="0" y="58634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574D187-7C90-49B5-836B-EB21E4E3B4FA}">
      <dsp:nvSpPr>
        <dsp:cNvPr id="0" name=""/>
        <dsp:cNvSpPr/>
      </dsp:nvSpPr>
      <dsp:spPr>
        <a:xfrm>
          <a:off x="930972" y="1796051"/>
          <a:ext cx="91440" cy="31105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1105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099FBE-9D5C-4F69-AF82-B0EA51AA9AEF}">
      <dsp:nvSpPr>
        <dsp:cNvPr id="0" name=""/>
        <dsp:cNvSpPr/>
      </dsp:nvSpPr>
      <dsp:spPr>
        <a:xfrm>
          <a:off x="976692" y="740601"/>
          <a:ext cx="3173907" cy="314848"/>
        </a:xfrm>
        <a:custGeom>
          <a:avLst/>
          <a:gdLst/>
          <a:ahLst/>
          <a:cxnLst/>
          <a:rect l="0" t="0" r="0" b="0"/>
          <a:pathLst>
            <a:path>
              <a:moveTo>
                <a:pt x="3173907" y="0"/>
              </a:moveTo>
              <a:lnTo>
                <a:pt x="3173907" y="159321"/>
              </a:lnTo>
              <a:lnTo>
                <a:pt x="0" y="159321"/>
              </a:lnTo>
              <a:lnTo>
                <a:pt x="0" y="3148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-40000"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45ADA7D-C4FC-429F-9342-E958DF243FAC}">
      <dsp:nvSpPr>
        <dsp:cNvPr id="0" name=""/>
        <dsp:cNvSpPr/>
      </dsp:nvSpPr>
      <dsp:spPr>
        <a:xfrm>
          <a:off x="3409998" y="0"/>
          <a:ext cx="1481203" cy="740601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Produccion de software </a:t>
          </a:r>
        </a:p>
      </dsp:txBody>
      <dsp:txXfrm>
        <a:off x="3409998" y="0"/>
        <a:ext cx="1481203" cy="740601"/>
      </dsp:txXfrm>
    </dsp:sp>
    <dsp:sp modelId="{6EBF5634-1998-4312-82E8-5B0A2CCB0086}">
      <dsp:nvSpPr>
        <dsp:cNvPr id="0" name=""/>
        <dsp:cNvSpPr/>
      </dsp:nvSpPr>
      <dsp:spPr>
        <a:xfrm>
          <a:off x="236090" y="1055449"/>
          <a:ext cx="1481203" cy="740601"/>
        </a:xfrm>
        <a:prstGeom prst="rect">
          <a:avLst/>
        </a:prstGeom>
        <a:solidFill>
          <a:schemeClr val="accent2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Fase de planificacion  </a:t>
          </a:r>
        </a:p>
      </dsp:txBody>
      <dsp:txXfrm>
        <a:off x="236090" y="1055449"/>
        <a:ext cx="1481203" cy="740601"/>
      </dsp:txXfrm>
    </dsp:sp>
    <dsp:sp modelId="{907369D2-5C97-4C24-8361-700BA9639EE4}">
      <dsp:nvSpPr>
        <dsp:cNvPr id="0" name=""/>
        <dsp:cNvSpPr/>
      </dsp:nvSpPr>
      <dsp:spPr>
        <a:xfrm>
          <a:off x="236090" y="2107104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Planificacion</a:t>
          </a:r>
          <a:r>
            <a:rPr lang="es-CL" sz="1000" kern="1200"/>
            <a:t> </a:t>
          </a:r>
        </a:p>
      </dsp:txBody>
      <dsp:txXfrm>
        <a:off x="236090" y="2107104"/>
        <a:ext cx="1481203" cy="740601"/>
      </dsp:txXfrm>
    </dsp:sp>
    <dsp:sp modelId="{F89C8CAA-A29D-456C-A187-090B0AC55021}">
      <dsp:nvSpPr>
        <dsp:cNvPr id="0" name=""/>
        <dsp:cNvSpPr/>
      </dsp:nvSpPr>
      <dsp:spPr>
        <a:xfrm>
          <a:off x="242193" y="3063746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Reuniones</a:t>
          </a:r>
          <a:r>
            <a:rPr lang="es-CL" sz="1000" kern="1200"/>
            <a:t> </a:t>
          </a:r>
        </a:p>
      </dsp:txBody>
      <dsp:txXfrm>
        <a:off x="242193" y="3063746"/>
        <a:ext cx="1481203" cy="740601"/>
      </dsp:txXfrm>
    </dsp:sp>
    <dsp:sp modelId="{3861CCBF-3F77-4174-B7FA-0DC5568C8E1A}">
      <dsp:nvSpPr>
        <dsp:cNvPr id="0" name=""/>
        <dsp:cNvSpPr/>
      </dsp:nvSpPr>
      <dsp:spPr>
        <a:xfrm>
          <a:off x="333583" y="4083725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Administracion</a:t>
          </a:r>
          <a:r>
            <a:rPr lang="es-CL" sz="1000" kern="1200"/>
            <a:t> </a:t>
          </a:r>
        </a:p>
      </dsp:txBody>
      <dsp:txXfrm>
        <a:off x="333583" y="4083725"/>
        <a:ext cx="1481203" cy="740601"/>
      </dsp:txXfrm>
    </dsp:sp>
    <dsp:sp modelId="{FD6E09B4-0E35-4E5A-A979-246DE837364A}">
      <dsp:nvSpPr>
        <dsp:cNvPr id="0" name=""/>
        <dsp:cNvSpPr/>
      </dsp:nvSpPr>
      <dsp:spPr>
        <a:xfrm>
          <a:off x="2398647" y="1055449"/>
          <a:ext cx="1481203" cy="740601"/>
        </a:xfrm>
        <a:prstGeom prst="rect">
          <a:avLst/>
        </a:prstGeom>
        <a:solidFill>
          <a:schemeClr val="accent2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Fase de analisis y diseño </a:t>
          </a:r>
        </a:p>
      </dsp:txBody>
      <dsp:txXfrm>
        <a:off x="2398647" y="1055449"/>
        <a:ext cx="1481203" cy="740601"/>
      </dsp:txXfrm>
    </dsp:sp>
    <dsp:sp modelId="{BB7B4530-5D59-4F82-90A2-EFD83ADB2411}">
      <dsp:nvSpPr>
        <dsp:cNvPr id="0" name=""/>
        <dsp:cNvSpPr/>
      </dsp:nvSpPr>
      <dsp:spPr>
        <a:xfrm>
          <a:off x="2398647" y="2107104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Captura de requerimiento</a:t>
          </a:r>
        </a:p>
      </dsp:txBody>
      <dsp:txXfrm>
        <a:off x="2398647" y="2107104"/>
        <a:ext cx="1481203" cy="740601"/>
      </dsp:txXfrm>
    </dsp:sp>
    <dsp:sp modelId="{51E7A138-A6B3-41C4-BF38-1DFAC2DCADC7}">
      <dsp:nvSpPr>
        <dsp:cNvPr id="0" name=""/>
        <dsp:cNvSpPr/>
      </dsp:nvSpPr>
      <dsp:spPr>
        <a:xfrm>
          <a:off x="2398647" y="3158758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Diseño de soluciones y modelamiento</a:t>
          </a:r>
          <a:endParaRPr lang="es-CL" b="1" kern="1200"/>
        </a:p>
      </dsp:txBody>
      <dsp:txXfrm>
        <a:off x="2398647" y="3158758"/>
        <a:ext cx="1481203" cy="740601"/>
      </dsp:txXfrm>
    </dsp:sp>
    <dsp:sp modelId="{F20F0AFB-1595-4097-BAED-08E74194EDD6}">
      <dsp:nvSpPr>
        <dsp:cNvPr id="0" name=""/>
        <dsp:cNvSpPr/>
      </dsp:nvSpPr>
      <dsp:spPr>
        <a:xfrm>
          <a:off x="2768948" y="4210412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Propuesta ERS</a:t>
          </a:r>
        </a:p>
      </dsp:txBody>
      <dsp:txXfrm>
        <a:off x="2768948" y="4210412"/>
        <a:ext cx="1481203" cy="740601"/>
      </dsp:txXfrm>
    </dsp:sp>
    <dsp:sp modelId="{6FABC1F1-0D1F-4976-B277-9429429EAB66}">
      <dsp:nvSpPr>
        <dsp:cNvPr id="0" name=""/>
        <dsp:cNvSpPr/>
      </dsp:nvSpPr>
      <dsp:spPr>
        <a:xfrm>
          <a:off x="4190903" y="1055449"/>
          <a:ext cx="1481203" cy="740601"/>
        </a:xfrm>
        <a:prstGeom prst="rect">
          <a:avLst/>
        </a:prstGeom>
        <a:solidFill>
          <a:schemeClr val="accent2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Fase de desarrollo </a:t>
          </a:r>
        </a:p>
      </dsp:txBody>
      <dsp:txXfrm>
        <a:off x="4190903" y="1055449"/>
        <a:ext cx="1481203" cy="740601"/>
      </dsp:txXfrm>
    </dsp:sp>
    <dsp:sp modelId="{F5876B00-2149-4659-AA75-F7EF89DD23F3}">
      <dsp:nvSpPr>
        <dsp:cNvPr id="0" name=""/>
        <dsp:cNvSpPr/>
      </dsp:nvSpPr>
      <dsp:spPr>
        <a:xfrm>
          <a:off x="4190903" y="2027296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Implementacion ambiente desarrollo </a:t>
          </a:r>
        </a:p>
      </dsp:txBody>
      <dsp:txXfrm>
        <a:off x="4190903" y="2027296"/>
        <a:ext cx="1481203" cy="740601"/>
      </dsp:txXfrm>
    </dsp:sp>
    <dsp:sp modelId="{53C2D9BD-84A0-45AB-91B7-EC350FE98A41}">
      <dsp:nvSpPr>
        <dsp:cNvPr id="0" name=""/>
        <dsp:cNvSpPr/>
      </dsp:nvSpPr>
      <dsp:spPr>
        <a:xfrm>
          <a:off x="4483544" y="3158758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Creacion de base datos </a:t>
          </a:r>
        </a:p>
      </dsp:txBody>
      <dsp:txXfrm>
        <a:off x="4483544" y="3158758"/>
        <a:ext cx="1481203" cy="740601"/>
      </dsp:txXfrm>
    </dsp:sp>
    <dsp:sp modelId="{7BA21248-A16F-4381-84A7-EAC6F51647C5}">
      <dsp:nvSpPr>
        <dsp:cNvPr id="0" name=""/>
        <dsp:cNvSpPr/>
      </dsp:nvSpPr>
      <dsp:spPr>
        <a:xfrm>
          <a:off x="4494564" y="4182921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Configuraciones del aplicativo </a:t>
          </a:r>
        </a:p>
      </dsp:txBody>
      <dsp:txXfrm>
        <a:off x="4494564" y="4182921"/>
        <a:ext cx="1481203" cy="740601"/>
      </dsp:txXfrm>
    </dsp:sp>
    <dsp:sp modelId="{D900244F-D4B9-48DA-8D50-E9FB131C7C1A}">
      <dsp:nvSpPr>
        <dsp:cNvPr id="0" name=""/>
        <dsp:cNvSpPr/>
      </dsp:nvSpPr>
      <dsp:spPr>
        <a:xfrm>
          <a:off x="6353460" y="1055449"/>
          <a:ext cx="1481203" cy="740601"/>
        </a:xfrm>
        <a:prstGeom prst="rect">
          <a:avLst/>
        </a:prstGeom>
        <a:solidFill>
          <a:schemeClr val="accent2"/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Fase de implementacion y cierre </a:t>
          </a:r>
        </a:p>
      </dsp:txBody>
      <dsp:txXfrm>
        <a:off x="6353460" y="1055449"/>
        <a:ext cx="1481203" cy="740601"/>
      </dsp:txXfrm>
    </dsp:sp>
    <dsp:sp modelId="{C3F08A0C-12A6-40E8-9C03-DD8AD0F863E5}">
      <dsp:nvSpPr>
        <dsp:cNvPr id="0" name=""/>
        <dsp:cNvSpPr/>
      </dsp:nvSpPr>
      <dsp:spPr>
        <a:xfrm>
          <a:off x="6437607" y="2065030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Prueba de configuraciones del aplicativo </a:t>
          </a:r>
        </a:p>
      </dsp:txBody>
      <dsp:txXfrm>
        <a:off x="6437607" y="2065030"/>
        <a:ext cx="1481203" cy="740601"/>
      </dsp:txXfrm>
    </dsp:sp>
    <dsp:sp modelId="{0566ECE3-E535-41DD-94E9-69BEC91A517A}">
      <dsp:nvSpPr>
        <dsp:cNvPr id="0" name=""/>
        <dsp:cNvSpPr/>
      </dsp:nvSpPr>
      <dsp:spPr>
        <a:xfrm>
          <a:off x="6628060" y="3075499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Migracion  y marcha blanca del software en productivo </a:t>
          </a:r>
        </a:p>
      </dsp:txBody>
      <dsp:txXfrm>
        <a:off x="6628060" y="3075499"/>
        <a:ext cx="1481203" cy="740601"/>
      </dsp:txXfrm>
    </dsp:sp>
    <dsp:sp modelId="{2C4DD7EF-3EE4-4D52-AF29-F15DDDBDB3AB}">
      <dsp:nvSpPr>
        <dsp:cNvPr id="0" name=""/>
        <dsp:cNvSpPr/>
      </dsp:nvSpPr>
      <dsp:spPr>
        <a:xfrm>
          <a:off x="6273786" y="4203821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Capacitacion al usuario final</a:t>
          </a:r>
        </a:p>
      </dsp:txBody>
      <dsp:txXfrm>
        <a:off x="6273786" y="4203821"/>
        <a:ext cx="1481203" cy="740601"/>
      </dsp:txXfrm>
    </dsp:sp>
    <dsp:sp modelId="{F3A62363-9571-41E8-8909-54093C6C392F}">
      <dsp:nvSpPr>
        <dsp:cNvPr id="0" name=""/>
        <dsp:cNvSpPr/>
      </dsp:nvSpPr>
      <dsp:spPr>
        <a:xfrm>
          <a:off x="6723760" y="5262066"/>
          <a:ext cx="1481203" cy="74060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000" b="1" kern="1200"/>
            <a:t>Cierre proyecto</a:t>
          </a:r>
        </a:p>
      </dsp:txBody>
      <dsp:txXfrm>
        <a:off x="6723760" y="5262066"/>
        <a:ext cx="1481203" cy="74060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2">
  <dgm:title val=""/>
  <dgm:desc val=""/>
  <dgm:catLst>
    <dgm:cat type="3D" pri="11200"/>
  </dgm:catLst>
  <dgm:scene3d>
    <a:camera prst="orthographicFront"/>
    <a:lightRig rig="threePt" dir="t"/>
  </dgm:scene3d>
  <dgm:styleLbl name="node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ng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>
        <a:rot lat="0" lon="0" rev="7500000"/>
      </a:lightRig>
    </dgm:scene3d>
    <dgm:sp3d z="254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>
        <a:rot lat="0" lon="0" rev="7500000"/>
      </a:lightRig>
    </dgm:scene3d>
    <dgm:sp3d z="-1524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>
        <a:rot lat="0" lon="0" rev="7500000"/>
      </a:lightRig>
    </dgm:scene3d>
    <dgm:sp3d z="-700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>
        <a:rot lat="0" lon="0" rev="7500000"/>
      </a:lightRig>
    </dgm:scene3d>
    <dgm:sp3d z="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>
        <a:rot lat="0" lon="0" rev="7500000"/>
      </a:lightRig>
    </dgm:scene3d>
    <dgm:sp3d z="-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>
        <a:rot lat="0" lon="0" rev="7500000"/>
      </a:lightRig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>
        <a:rot lat="0" lon="0" rev="7500000"/>
      </a:lightRig>
    </dgm:scene3d>
    <dgm:sp3d extrusionH="190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>
        <a:rot lat="0" lon="0" rev="7500000"/>
      </a:lightRig>
    </dgm:scene3d>
    <dgm:sp3d prstMaterial="plastic">
      <a:bevelT w="127000" h="354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2445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0800" h="190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bevelB w="120650" h="571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>
        <a:rot lat="0" lon="0" rev="7500000"/>
      </a:lightRig>
    </dgm:scene3d>
    <dgm:sp3d z="-152400" extrusionH="63500" prstMaterial="matte">
      <a:bevelT w="144450" h="6350" prst="relaxedInset"/>
      <a:contourClr>
        <a:schemeClr val="bg1"/>
      </a:contourClr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  <a:bevelB w="88900" h="121750" prst="angle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0</xdr:row>
      <xdr:rowOff>180976</xdr:rowOff>
    </xdr:from>
    <xdr:to>
      <xdr:col>14</xdr:col>
      <xdr:colOff>238125</xdr:colOff>
      <xdr:row>33</xdr:row>
      <xdr:rowOff>152400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310BD24E-3F6D-4A93-9F38-A4DF3F781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5"/>
  <sheetViews>
    <sheetView tabSelected="1" zoomScale="85" zoomScaleNormal="85" workbookViewId="0">
      <selection activeCell="A55" sqref="A5:F55"/>
    </sheetView>
  </sheetViews>
  <sheetFormatPr baseColWidth="10" defaultRowHeight="15" outlineLevelRow="1" x14ac:dyDescent="0.25"/>
  <cols>
    <col min="1" max="1" width="5" customWidth="1"/>
    <col min="2" max="2" width="51.42578125" customWidth="1"/>
    <col min="5" max="5" width="13.85546875" bestFit="1" customWidth="1"/>
    <col min="6" max="6" width="11.7109375" bestFit="1" customWidth="1"/>
    <col min="9" max="9" width="22.85546875" bestFit="1" customWidth="1"/>
    <col min="10" max="10" width="18.7109375" customWidth="1"/>
    <col min="11" max="11" width="3.5703125" customWidth="1"/>
    <col min="12" max="12" width="2.28515625" customWidth="1"/>
    <col min="13" max="13" width="25.85546875" bestFit="1" customWidth="1"/>
    <col min="14" max="14" width="15.5703125" bestFit="1" customWidth="1"/>
  </cols>
  <sheetData>
    <row r="2" spans="1:14" ht="21" x14ac:dyDescent="0.35">
      <c r="B2" s="40" t="s">
        <v>0</v>
      </c>
      <c r="C2" s="40"/>
      <c r="D2" s="40"/>
      <c r="E2" s="40"/>
      <c r="F2" s="40"/>
      <c r="G2" s="40"/>
      <c r="H2" s="40"/>
      <c r="I2" s="40"/>
      <c r="J2" s="40"/>
    </row>
    <row r="5" spans="1:14" x14ac:dyDescent="0.25">
      <c r="A5" s="45" t="s">
        <v>92</v>
      </c>
      <c r="B5" s="45"/>
      <c r="C5" s="19" t="s">
        <v>5</v>
      </c>
      <c r="D5" s="39" t="s">
        <v>6</v>
      </c>
      <c r="E5" s="39"/>
      <c r="F5" s="39"/>
      <c r="I5" s="37" t="s">
        <v>12</v>
      </c>
      <c r="J5" s="38"/>
      <c r="M5" s="37" t="s">
        <v>39</v>
      </c>
      <c r="N5" s="38"/>
    </row>
    <row r="6" spans="1:14" x14ac:dyDescent="0.25">
      <c r="A6" t="s">
        <v>93</v>
      </c>
      <c r="B6" t="s">
        <v>94</v>
      </c>
      <c r="C6" s="16"/>
      <c r="D6" s="35" t="s">
        <v>142</v>
      </c>
      <c r="E6" s="36" t="s">
        <v>150</v>
      </c>
      <c r="F6" s="36" t="s">
        <v>146</v>
      </c>
      <c r="H6" s="19" t="s">
        <v>27</v>
      </c>
      <c r="I6" s="19" t="s">
        <v>13</v>
      </c>
      <c r="J6" s="19" t="s">
        <v>14</v>
      </c>
      <c r="M6" s="7" t="s">
        <v>34</v>
      </c>
      <c r="N6" s="46">
        <v>2632295</v>
      </c>
    </row>
    <row r="7" spans="1:14" outlineLevel="1" x14ac:dyDescent="0.25">
      <c r="A7" t="s">
        <v>93</v>
      </c>
      <c r="B7" t="s">
        <v>95</v>
      </c>
      <c r="C7" s="1">
        <v>2</v>
      </c>
      <c r="D7" s="5">
        <v>4</v>
      </c>
      <c r="E7" s="5">
        <v>2</v>
      </c>
      <c r="F7" s="5">
        <v>2</v>
      </c>
      <c r="G7" s="3"/>
      <c r="H7" s="4" t="s">
        <v>142</v>
      </c>
      <c r="I7" s="1" t="s">
        <v>147</v>
      </c>
      <c r="J7" s="1" t="s">
        <v>143</v>
      </c>
      <c r="M7" s="7" t="s">
        <v>42</v>
      </c>
      <c r="N7" s="46">
        <v>263230</v>
      </c>
    </row>
    <row r="8" spans="1:14" outlineLevel="1" x14ac:dyDescent="0.25">
      <c r="A8" t="s">
        <v>93</v>
      </c>
      <c r="B8" t="s">
        <v>96</v>
      </c>
      <c r="C8" s="1">
        <v>1</v>
      </c>
      <c r="D8" s="5">
        <v>3</v>
      </c>
      <c r="E8" s="5">
        <v>3</v>
      </c>
      <c r="F8" s="5">
        <v>3</v>
      </c>
      <c r="G8" s="3"/>
      <c r="H8" s="4" t="s">
        <v>150</v>
      </c>
      <c r="I8" s="1" t="s">
        <v>148</v>
      </c>
      <c r="J8" s="1" t="s">
        <v>144</v>
      </c>
      <c r="M8" s="7" t="s">
        <v>43</v>
      </c>
      <c r="N8" s="46">
        <v>184260</v>
      </c>
    </row>
    <row r="9" spans="1:14" outlineLevel="1" x14ac:dyDescent="0.25">
      <c r="A9" t="s">
        <v>93</v>
      </c>
      <c r="B9" t="s">
        <v>97</v>
      </c>
      <c r="C9" s="1">
        <v>1</v>
      </c>
      <c r="D9" s="5">
        <v>2</v>
      </c>
      <c r="E9" s="5">
        <v>0</v>
      </c>
      <c r="F9" s="5">
        <v>0</v>
      </c>
      <c r="G9" s="3"/>
      <c r="H9" s="4" t="s">
        <v>146</v>
      </c>
      <c r="I9" s="1" t="s">
        <v>149</v>
      </c>
      <c r="J9" s="1" t="s">
        <v>145</v>
      </c>
      <c r="M9" s="7" t="s">
        <v>47</v>
      </c>
      <c r="N9" s="46">
        <v>219358</v>
      </c>
    </row>
    <row r="10" spans="1:14" outlineLevel="1" x14ac:dyDescent="0.25">
      <c r="A10" s="45" t="s">
        <v>98</v>
      </c>
      <c r="B10" s="45"/>
      <c r="C10" s="17"/>
      <c r="D10" s="18" t="s">
        <v>142</v>
      </c>
      <c r="E10" s="18" t="s">
        <v>150</v>
      </c>
      <c r="F10" s="36" t="s">
        <v>146</v>
      </c>
      <c r="G10" s="3"/>
      <c r="H10" s="4"/>
      <c r="I10" s="1"/>
      <c r="J10" s="1"/>
      <c r="M10" s="7" t="s">
        <v>48</v>
      </c>
      <c r="N10" s="46">
        <v>219358</v>
      </c>
    </row>
    <row r="11" spans="1:14" outlineLevel="1" x14ac:dyDescent="0.25">
      <c r="A11" t="s">
        <v>93</v>
      </c>
      <c r="B11" t="s">
        <v>99</v>
      </c>
      <c r="C11" s="1">
        <v>1</v>
      </c>
      <c r="D11" s="5">
        <v>4</v>
      </c>
      <c r="E11" s="5">
        <v>0</v>
      </c>
      <c r="F11" s="5">
        <v>0</v>
      </c>
      <c r="G11" s="3"/>
      <c r="H11" s="4"/>
      <c r="I11" s="1"/>
      <c r="J11" s="1"/>
      <c r="M11" s="7" t="s">
        <v>49</v>
      </c>
      <c r="N11" s="9">
        <v>219358</v>
      </c>
    </row>
    <row r="12" spans="1:14" x14ac:dyDescent="0.25">
      <c r="A12" t="s">
        <v>93</v>
      </c>
      <c r="B12" t="s">
        <v>100</v>
      </c>
      <c r="C12" s="1">
        <v>1</v>
      </c>
      <c r="D12" s="5">
        <v>4</v>
      </c>
      <c r="E12" s="5">
        <v>0</v>
      </c>
      <c r="F12" s="5">
        <v>0</v>
      </c>
      <c r="M12" s="7" t="s">
        <v>36</v>
      </c>
      <c r="N12" s="9">
        <v>131615</v>
      </c>
    </row>
    <row r="13" spans="1:14" outlineLevel="1" x14ac:dyDescent="0.25">
      <c r="A13" t="s">
        <v>93</v>
      </c>
      <c r="B13" t="s">
        <v>101</v>
      </c>
      <c r="C13" s="1">
        <v>3</v>
      </c>
      <c r="D13" s="6">
        <v>4</v>
      </c>
      <c r="E13" s="6">
        <v>3</v>
      </c>
      <c r="F13" s="6">
        <v>3</v>
      </c>
      <c r="H13" s="37" t="s">
        <v>60</v>
      </c>
      <c r="I13" s="38"/>
      <c r="M13" s="21" t="s">
        <v>38</v>
      </c>
      <c r="N13" s="22">
        <f>SUM(N6:N12)</f>
        <v>3869474</v>
      </c>
    </row>
    <row r="14" spans="1:14" outlineLevel="1" x14ac:dyDescent="0.25">
      <c r="A14" t="s">
        <v>93</v>
      </c>
      <c r="B14" t="s">
        <v>102</v>
      </c>
      <c r="C14" s="1">
        <v>5</v>
      </c>
      <c r="D14" s="6">
        <v>5</v>
      </c>
      <c r="E14" s="6">
        <v>4</v>
      </c>
      <c r="F14" s="6">
        <v>6</v>
      </c>
      <c r="H14" s="4" t="s">
        <v>45</v>
      </c>
      <c r="I14" s="1">
        <v>34</v>
      </c>
    </row>
    <row r="15" spans="1:14" outlineLevel="1" x14ac:dyDescent="0.25">
      <c r="A15" s="45" t="s">
        <v>16</v>
      </c>
      <c r="B15" s="45"/>
      <c r="C15" s="17"/>
      <c r="D15" s="18" t="s">
        <v>142</v>
      </c>
      <c r="E15" s="18" t="s">
        <v>150</v>
      </c>
      <c r="F15" s="36" t="s">
        <v>146</v>
      </c>
      <c r="H15" s="4" t="s">
        <v>28</v>
      </c>
      <c r="I15" s="4">
        <v>272</v>
      </c>
      <c r="M15" s="21" t="s">
        <v>46</v>
      </c>
      <c r="N15" s="12">
        <f>N13/30</f>
        <v>128982.46666666666</v>
      </c>
    </row>
    <row r="16" spans="1:14" outlineLevel="1" x14ac:dyDescent="0.25">
      <c r="A16" t="s">
        <v>93</v>
      </c>
      <c r="B16" t="s">
        <v>103</v>
      </c>
      <c r="C16" s="1">
        <v>9</v>
      </c>
      <c r="D16" s="6">
        <v>14</v>
      </c>
      <c r="E16" s="6">
        <v>6</v>
      </c>
      <c r="F16" s="6">
        <v>6</v>
      </c>
      <c r="M16" s="21" t="s">
        <v>41</v>
      </c>
      <c r="N16" s="12">
        <f>N15/8</f>
        <v>16122.808333333332</v>
      </c>
    </row>
    <row r="17" spans="1:14" x14ac:dyDescent="0.25">
      <c r="A17" t="s">
        <v>93</v>
      </c>
      <c r="B17" t="s">
        <v>104</v>
      </c>
      <c r="C17" s="1">
        <v>9</v>
      </c>
      <c r="D17" s="6">
        <v>14</v>
      </c>
      <c r="E17" s="6">
        <v>6</v>
      </c>
      <c r="F17" s="6">
        <v>6</v>
      </c>
      <c r="H17" s="19" t="s">
        <v>29</v>
      </c>
      <c r="I17" s="19" t="s">
        <v>30</v>
      </c>
      <c r="J17" s="19" t="s">
        <v>44</v>
      </c>
    </row>
    <row r="18" spans="1:14" outlineLevel="1" x14ac:dyDescent="0.25">
      <c r="A18" t="s">
        <v>93</v>
      </c>
      <c r="B18" t="s">
        <v>105</v>
      </c>
      <c r="C18" s="1">
        <v>5</v>
      </c>
      <c r="D18" s="6">
        <v>10</v>
      </c>
      <c r="E18" s="6">
        <v>15</v>
      </c>
      <c r="F18" s="6">
        <v>15</v>
      </c>
      <c r="H18" s="4" t="s">
        <v>142</v>
      </c>
      <c r="I18" s="4">
        <v>184</v>
      </c>
      <c r="J18" s="13">
        <f>N16*I18</f>
        <v>2966596.7333333334</v>
      </c>
      <c r="M18" s="21" t="s">
        <v>51</v>
      </c>
      <c r="N18" s="12">
        <f>I15*N16</f>
        <v>4385403.8666666662</v>
      </c>
    </row>
    <row r="19" spans="1:14" outlineLevel="1" x14ac:dyDescent="0.25">
      <c r="A19" s="45" t="s">
        <v>106</v>
      </c>
      <c r="B19" s="45"/>
      <c r="C19" s="17"/>
      <c r="D19" s="18" t="s">
        <v>142</v>
      </c>
      <c r="E19" s="18" t="s">
        <v>150</v>
      </c>
      <c r="F19" s="36" t="s">
        <v>146</v>
      </c>
      <c r="H19" s="4" t="s">
        <v>150</v>
      </c>
      <c r="I19" s="4">
        <v>232</v>
      </c>
      <c r="J19" s="13">
        <f>I19*N16</f>
        <v>3740491.5333333332</v>
      </c>
    </row>
    <row r="20" spans="1:14" outlineLevel="1" x14ac:dyDescent="0.25">
      <c r="A20" t="s">
        <v>93</v>
      </c>
      <c r="B20" t="s">
        <v>107</v>
      </c>
      <c r="C20" s="1">
        <v>5</v>
      </c>
      <c r="D20" s="6">
        <v>2</v>
      </c>
      <c r="E20" s="6">
        <v>15</v>
      </c>
      <c r="F20" s="6">
        <v>15</v>
      </c>
      <c r="H20" s="4" t="s">
        <v>146</v>
      </c>
      <c r="I20" s="4">
        <v>160</v>
      </c>
      <c r="J20" s="13">
        <f>I20*N16</f>
        <v>2579649.333333333</v>
      </c>
    </row>
    <row r="21" spans="1:14" outlineLevel="1" x14ac:dyDescent="0.25">
      <c r="A21" t="s">
        <v>93</v>
      </c>
      <c r="B21" t="s">
        <v>108</v>
      </c>
      <c r="C21" s="1">
        <v>5</v>
      </c>
      <c r="D21" s="6">
        <v>2</v>
      </c>
      <c r="E21" s="6">
        <v>15</v>
      </c>
      <c r="F21" s="6">
        <v>15</v>
      </c>
      <c r="H21" s="4"/>
      <c r="I21" s="4"/>
      <c r="J21" s="13"/>
    </row>
    <row r="22" spans="1:14" outlineLevel="1" x14ac:dyDescent="0.25">
      <c r="A22" t="s">
        <v>93</v>
      </c>
      <c r="B22" t="s">
        <v>109</v>
      </c>
      <c r="C22" s="1">
        <v>5</v>
      </c>
      <c r="D22" s="6">
        <v>2</v>
      </c>
      <c r="E22" s="6">
        <v>15</v>
      </c>
      <c r="F22" s="6">
        <v>15</v>
      </c>
      <c r="H22" s="4"/>
      <c r="I22" s="4"/>
      <c r="J22" s="13"/>
    </row>
    <row r="23" spans="1:14" outlineLevel="1" x14ac:dyDescent="0.25">
      <c r="A23" t="s">
        <v>93</v>
      </c>
      <c r="B23" t="s">
        <v>110</v>
      </c>
      <c r="C23" s="1">
        <v>5</v>
      </c>
      <c r="D23" s="6">
        <v>2</v>
      </c>
      <c r="E23" s="6">
        <v>15</v>
      </c>
      <c r="F23" s="6">
        <v>15</v>
      </c>
      <c r="H23" s="19" t="s">
        <v>31</v>
      </c>
      <c r="I23" s="18">
        <f>SUM(I18:I22)</f>
        <v>576</v>
      </c>
      <c r="J23" s="20">
        <f>SUM(J18:J22)</f>
        <v>9286737.5999999996</v>
      </c>
    </row>
    <row r="24" spans="1:14" outlineLevel="1" x14ac:dyDescent="0.25">
      <c r="A24" t="s">
        <v>93</v>
      </c>
      <c r="B24" t="s">
        <v>111</v>
      </c>
      <c r="C24" s="1">
        <v>3</v>
      </c>
      <c r="D24" s="6">
        <v>20</v>
      </c>
      <c r="E24" s="6">
        <v>20</v>
      </c>
      <c r="F24" s="6">
        <v>20</v>
      </c>
    </row>
    <row r="25" spans="1:14" x14ac:dyDescent="0.25">
      <c r="A25" s="45" t="s">
        <v>112</v>
      </c>
      <c r="B25" s="45"/>
      <c r="C25" s="17"/>
      <c r="D25" s="19" t="s">
        <v>142</v>
      </c>
      <c r="E25" s="19" t="s">
        <v>150</v>
      </c>
      <c r="F25" s="36" t="s">
        <v>146</v>
      </c>
    </row>
    <row r="26" spans="1:14" outlineLevel="1" x14ac:dyDescent="0.25">
      <c r="A26" t="s">
        <v>93</v>
      </c>
      <c r="B26" t="s">
        <v>113</v>
      </c>
      <c r="C26" s="1">
        <v>3</v>
      </c>
      <c r="D26" s="1">
        <v>8</v>
      </c>
      <c r="E26" s="1">
        <v>20</v>
      </c>
      <c r="F26" s="1">
        <v>10</v>
      </c>
    </row>
    <row r="27" spans="1:14" outlineLevel="1" x14ac:dyDescent="0.25">
      <c r="A27" t="s">
        <v>93</v>
      </c>
      <c r="B27" t="s">
        <v>114</v>
      </c>
      <c r="C27" s="1">
        <v>3</v>
      </c>
      <c r="D27" s="1">
        <v>8</v>
      </c>
      <c r="E27" s="1">
        <v>20</v>
      </c>
      <c r="F27" s="1">
        <v>10</v>
      </c>
    </row>
    <row r="28" spans="1:14" outlineLevel="1" x14ac:dyDescent="0.25">
      <c r="A28" t="s">
        <v>93</v>
      </c>
      <c r="B28" t="s">
        <v>115</v>
      </c>
      <c r="C28" s="1">
        <v>3</v>
      </c>
      <c r="D28" s="1">
        <v>8</v>
      </c>
      <c r="E28" s="1">
        <v>20</v>
      </c>
      <c r="F28" s="1">
        <v>10</v>
      </c>
    </row>
    <row r="29" spans="1:14" outlineLevel="1" x14ac:dyDescent="0.25">
      <c r="A29" t="s">
        <v>93</v>
      </c>
      <c r="B29" t="s">
        <v>116</v>
      </c>
      <c r="C29" s="1">
        <v>3</v>
      </c>
      <c r="D29" s="1">
        <v>8</v>
      </c>
      <c r="E29" s="1">
        <v>20</v>
      </c>
      <c r="F29" s="1">
        <v>10</v>
      </c>
    </row>
    <row r="30" spans="1:14" outlineLevel="1" x14ac:dyDescent="0.25">
      <c r="A30" t="s">
        <v>93</v>
      </c>
      <c r="B30" t="s">
        <v>117</v>
      </c>
      <c r="C30" s="1">
        <v>5</v>
      </c>
      <c r="D30" s="1">
        <v>8</v>
      </c>
      <c r="E30" s="1">
        <v>20</v>
      </c>
      <c r="F30" s="1">
        <v>10</v>
      </c>
    </row>
    <row r="31" spans="1:14" outlineLevel="1" x14ac:dyDescent="0.25">
      <c r="A31" t="s">
        <v>93</v>
      </c>
      <c r="B31" t="s">
        <v>118</v>
      </c>
      <c r="C31" s="1">
        <v>3</v>
      </c>
      <c r="D31" s="1">
        <v>8</v>
      </c>
      <c r="E31" s="1">
        <v>20</v>
      </c>
      <c r="F31" s="1">
        <v>10</v>
      </c>
    </row>
    <row r="32" spans="1:14" outlineLevel="1" x14ac:dyDescent="0.25">
      <c r="A32" t="s">
        <v>93</v>
      </c>
      <c r="B32" t="s">
        <v>119</v>
      </c>
      <c r="C32" s="1">
        <v>3</v>
      </c>
      <c r="D32" s="1">
        <v>8</v>
      </c>
      <c r="E32" s="1">
        <v>20</v>
      </c>
      <c r="F32" s="1">
        <v>10</v>
      </c>
    </row>
    <row r="33" spans="1:6" outlineLevel="1" x14ac:dyDescent="0.25">
      <c r="A33" t="s">
        <v>93</v>
      </c>
      <c r="B33" t="s">
        <v>120</v>
      </c>
      <c r="C33" s="1">
        <v>1</v>
      </c>
      <c r="D33" s="1">
        <v>12</v>
      </c>
      <c r="E33" s="1">
        <v>0</v>
      </c>
      <c r="F33" s="1">
        <v>0</v>
      </c>
    </row>
    <row r="34" spans="1:6" outlineLevel="1" x14ac:dyDescent="0.25">
      <c r="A34" t="s">
        <v>93</v>
      </c>
      <c r="B34" t="s">
        <v>121</v>
      </c>
      <c r="C34" s="1">
        <v>1</v>
      </c>
      <c r="D34" s="1">
        <v>3</v>
      </c>
      <c r="E34" s="1">
        <v>0</v>
      </c>
      <c r="F34" s="1">
        <v>0</v>
      </c>
    </row>
    <row r="35" spans="1:6" x14ac:dyDescent="0.25">
      <c r="A35" s="45" t="s">
        <v>122</v>
      </c>
      <c r="B35" s="45"/>
      <c r="C35" s="17"/>
      <c r="D35" s="19" t="s">
        <v>142</v>
      </c>
      <c r="E35" s="19" t="s">
        <v>150</v>
      </c>
      <c r="F35" s="36" t="s">
        <v>146</v>
      </c>
    </row>
    <row r="36" spans="1:6" x14ac:dyDescent="0.25">
      <c r="A36" t="s">
        <v>93</v>
      </c>
      <c r="B36" t="s">
        <v>123</v>
      </c>
      <c r="C36" s="1">
        <v>3</v>
      </c>
      <c r="D36" s="1">
        <v>8</v>
      </c>
      <c r="E36" s="1">
        <v>20</v>
      </c>
      <c r="F36" s="1">
        <v>10</v>
      </c>
    </row>
    <row r="37" spans="1:6" x14ac:dyDescent="0.25">
      <c r="A37" t="s">
        <v>93</v>
      </c>
      <c r="B37" t="s">
        <v>124</v>
      </c>
      <c r="C37" s="1">
        <v>3</v>
      </c>
      <c r="D37" s="1">
        <v>8</v>
      </c>
      <c r="E37" s="1">
        <v>20</v>
      </c>
      <c r="F37" s="1">
        <v>10</v>
      </c>
    </row>
    <row r="38" spans="1:6" x14ac:dyDescent="0.25">
      <c r="A38" t="s">
        <v>93</v>
      </c>
      <c r="B38" t="s">
        <v>125</v>
      </c>
      <c r="C38" s="1">
        <v>5</v>
      </c>
      <c r="D38" s="1">
        <v>8</v>
      </c>
      <c r="E38" s="1">
        <v>20</v>
      </c>
      <c r="F38" s="1">
        <v>10</v>
      </c>
    </row>
    <row r="39" spans="1:6" x14ac:dyDescent="0.25">
      <c r="A39" t="s">
        <v>93</v>
      </c>
      <c r="B39" t="s">
        <v>126</v>
      </c>
      <c r="C39" s="1">
        <v>3</v>
      </c>
      <c r="D39" s="1">
        <v>8</v>
      </c>
      <c r="E39" s="1">
        <v>20</v>
      </c>
      <c r="F39" s="1">
        <v>10</v>
      </c>
    </row>
    <row r="40" spans="1:6" x14ac:dyDescent="0.25">
      <c r="A40" t="s">
        <v>93</v>
      </c>
      <c r="B40" t="s">
        <v>127</v>
      </c>
      <c r="C40" s="1">
        <v>3</v>
      </c>
      <c r="D40" s="1">
        <v>8</v>
      </c>
      <c r="E40" s="1">
        <v>20</v>
      </c>
      <c r="F40" s="1">
        <v>10</v>
      </c>
    </row>
    <row r="41" spans="1:6" x14ac:dyDescent="0.25">
      <c r="A41" t="s">
        <v>93</v>
      </c>
      <c r="B41" t="s">
        <v>128</v>
      </c>
      <c r="C41" s="1">
        <v>1</v>
      </c>
      <c r="D41" s="1">
        <v>12</v>
      </c>
      <c r="E41" s="1">
        <v>0</v>
      </c>
      <c r="F41" s="1">
        <v>0</v>
      </c>
    </row>
    <row r="42" spans="1:6" x14ac:dyDescent="0.25">
      <c r="A42" t="s">
        <v>93</v>
      </c>
      <c r="B42" t="s">
        <v>129</v>
      </c>
      <c r="C42" s="1">
        <v>1</v>
      </c>
      <c r="D42" s="1">
        <v>3</v>
      </c>
      <c r="E42" s="1">
        <v>0</v>
      </c>
      <c r="F42" s="1">
        <v>0</v>
      </c>
    </row>
    <row r="43" spans="1:6" x14ac:dyDescent="0.25">
      <c r="A43" s="45" t="s">
        <v>130</v>
      </c>
      <c r="B43" s="45"/>
      <c r="C43" s="17"/>
      <c r="D43" s="19" t="s">
        <v>142</v>
      </c>
      <c r="E43" s="19" t="s">
        <v>150</v>
      </c>
      <c r="F43" s="36" t="s">
        <v>146</v>
      </c>
    </row>
    <row r="44" spans="1:6" x14ac:dyDescent="0.25">
      <c r="A44" t="s">
        <v>93</v>
      </c>
      <c r="B44" t="s">
        <v>131</v>
      </c>
      <c r="C44" s="1">
        <v>3</v>
      </c>
      <c r="D44" s="1">
        <v>8</v>
      </c>
      <c r="E44" s="1">
        <v>20</v>
      </c>
      <c r="F44" s="1">
        <v>10</v>
      </c>
    </row>
    <row r="45" spans="1:6" x14ac:dyDescent="0.25">
      <c r="A45" t="s">
        <v>93</v>
      </c>
      <c r="B45" t="s">
        <v>132</v>
      </c>
      <c r="C45" s="1">
        <v>3</v>
      </c>
      <c r="D45" s="1">
        <v>8</v>
      </c>
      <c r="E45" s="1">
        <v>20</v>
      </c>
      <c r="F45" s="1">
        <v>10</v>
      </c>
    </row>
    <row r="46" spans="1:6" x14ac:dyDescent="0.25">
      <c r="A46" t="s">
        <v>93</v>
      </c>
      <c r="B46" t="s">
        <v>133</v>
      </c>
      <c r="C46" s="1">
        <v>1</v>
      </c>
      <c r="D46" s="1">
        <v>12</v>
      </c>
      <c r="E46" s="1">
        <v>0</v>
      </c>
      <c r="F46" s="1">
        <v>0</v>
      </c>
    </row>
    <row r="47" spans="1:6" x14ac:dyDescent="0.25">
      <c r="A47" t="s">
        <v>93</v>
      </c>
      <c r="B47" t="s">
        <v>134</v>
      </c>
      <c r="C47" s="1">
        <v>1</v>
      </c>
      <c r="D47" s="1">
        <v>3</v>
      </c>
      <c r="E47" s="1">
        <v>0</v>
      </c>
      <c r="F47" s="1">
        <v>0</v>
      </c>
    </row>
    <row r="48" spans="1:6" x14ac:dyDescent="0.25">
      <c r="A48" s="45" t="s">
        <v>135</v>
      </c>
      <c r="B48" s="45"/>
      <c r="C48" s="17"/>
      <c r="D48" s="19" t="s">
        <v>142</v>
      </c>
      <c r="E48" s="19" t="s">
        <v>150</v>
      </c>
      <c r="F48" s="36" t="s">
        <v>146</v>
      </c>
    </row>
    <row r="49" spans="1:6" x14ac:dyDescent="0.25">
      <c r="A49" t="s">
        <v>93</v>
      </c>
      <c r="B49" t="s">
        <v>136</v>
      </c>
      <c r="C49" s="1">
        <v>3</v>
      </c>
      <c r="D49" s="1">
        <v>8</v>
      </c>
      <c r="E49" s="1">
        <v>20</v>
      </c>
      <c r="F49" s="1">
        <v>10</v>
      </c>
    </row>
    <row r="50" spans="1:6" x14ac:dyDescent="0.25">
      <c r="A50" t="s">
        <v>93</v>
      </c>
      <c r="B50" t="s">
        <v>137</v>
      </c>
      <c r="C50" s="1">
        <v>3</v>
      </c>
      <c r="D50" s="1">
        <v>8</v>
      </c>
      <c r="E50" s="1">
        <v>20</v>
      </c>
      <c r="F50" s="1">
        <v>10</v>
      </c>
    </row>
    <row r="51" spans="1:6" x14ac:dyDescent="0.25">
      <c r="A51" t="s">
        <v>93</v>
      </c>
      <c r="B51" t="s">
        <v>138</v>
      </c>
      <c r="C51" s="1">
        <v>1</v>
      </c>
      <c r="D51" s="1">
        <v>12</v>
      </c>
      <c r="E51" s="1">
        <v>0</v>
      </c>
      <c r="F51" s="1">
        <v>0</v>
      </c>
    </row>
    <row r="52" spans="1:6" x14ac:dyDescent="0.25">
      <c r="A52" s="45" t="s">
        <v>139</v>
      </c>
      <c r="B52" s="45"/>
      <c r="C52" s="17"/>
      <c r="D52" s="19" t="s">
        <v>142</v>
      </c>
      <c r="E52" s="19" t="s">
        <v>150</v>
      </c>
      <c r="F52" s="36" t="s">
        <v>146</v>
      </c>
    </row>
    <row r="53" spans="1:6" x14ac:dyDescent="0.25">
      <c r="A53" t="s">
        <v>93</v>
      </c>
      <c r="B53" t="s">
        <v>140</v>
      </c>
      <c r="C53" s="1">
        <v>3</v>
      </c>
      <c r="D53" s="1">
        <v>8</v>
      </c>
      <c r="E53" s="1">
        <v>20</v>
      </c>
      <c r="F53" s="1">
        <v>10</v>
      </c>
    </row>
    <row r="54" spans="1:6" x14ac:dyDescent="0.25">
      <c r="A54" t="s">
        <v>93</v>
      </c>
      <c r="B54" t="s">
        <v>139</v>
      </c>
      <c r="C54" s="1">
        <v>3</v>
      </c>
      <c r="D54" s="1">
        <v>8</v>
      </c>
      <c r="E54" s="1">
        <v>20</v>
      </c>
      <c r="F54" s="1">
        <v>10</v>
      </c>
    </row>
    <row r="55" spans="1:6" x14ac:dyDescent="0.25">
      <c r="A55" t="s">
        <v>93</v>
      </c>
      <c r="B55" t="s">
        <v>141</v>
      </c>
      <c r="C55" s="1">
        <v>1</v>
      </c>
      <c r="D55" s="1">
        <v>12</v>
      </c>
      <c r="E55" s="1">
        <v>0</v>
      </c>
      <c r="F55" s="1">
        <v>0</v>
      </c>
    </row>
  </sheetData>
  <mergeCells count="14">
    <mergeCell ref="A48:B48"/>
    <mergeCell ref="A52:B52"/>
    <mergeCell ref="A15:B15"/>
    <mergeCell ref="A19:B19"/>
    <mergeCell ref="A25:B25"/>
    <mergeCell ref="A35:B35"/>
    <mergeCell ref="A43:B43"/>
    <mergeCell ref="M5:N5"/>
    <mergeCell ref="D5:F5"/>
    <mergeCell ref="I5:J5"/>
    <mergeCell ref="B2:J2"/>
    <mergeCell ref="H13:I13"/>
    <mergeCell ref="A5:B5"/>
    <mergeCell ref="A10:B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BCCD-EFB0-46E3-8FF7-E5E3E78B830C}">
  <dimension ref="B1:E12"/>
  <sheetViews>
    <sheetView workbookViewId="0">
      <selection activeCell="C27" sqref="C27"/>
    </sheetView>
  </sheetViews>
  <sheetFormatPr baseColWidth="10" defaultRowHeight="15" x14ac:dyDescent="0.25"/>
  <cols>
    <col min="2" max="2" width="19.7109375" bestFit="1" customWidth="1"/>
    <col min="3" max="3" width="13" customWidth="1"/>
  </cols>
  <sheetData>
    <row r="1" spans="2:5" x14ac:dyDescent="0.25">
      <c r="B1" s="41" t="s">
        <v>39</v>
      </c>
      <c r="C1" s="41"/>
    </row>
    <row r="2" spans="2:5" x14ac:dyDescent="0.25">
      <c r="B2" s="7" t="s">
        <v>34</v>
      </c>
      <c r="C2" s="8">
        <v>940000</v>
      </c>
      <c r="E2" t="s">
        <v>37</v>
      </c>
    </row>
    <row r="3" spans="2:5" x14ac:dyDescent="0.25">
      <c r="B3" s="7" t="s">
        <v>42</v>
      </c>
      <c r="C3" s="8">
        <f>C2*0.11</f>
        <v>103400</v>
      </c>
    </row>
    <row r="4" spans="2:5" x14ac:dyDescent="0.25">
      <c r="B4" s="7" t="s">
        <v>43</v>
      </c>
      <c r="C4" s="8">
        <f>C2*0.07</f>
        <v>65800</v>
      </c>
    </row>
    <row r="5" spans="2:5" x14ac:dyDescent="0.25">
      <c r="B5" s="7" t="s">
        <v>32</v>
      </c>
      <c r="C5" s="9">
        <v>30000</v>
      </c>
    </row>
    <row r="6" spans="2:5" x14ac:dyDescent="0.25">
      <c r="B6" s="7" t="s">
        <v>33</v>
      </c>
      <c r="C6" s="9">
        <v>25000</v>
      </c>
    </row>
    <row r="7" spans="2:5" x14ac:dyDescent="0.25">
      <c r="B7" s="7" t="s">
        <v>35</v>
      </c>
      <c r="C7" s="9">
        <v>50000</v>
      </c>
    </row>
    <row r="8" spans="2:5" x14ac:dyDescent="0.25">
      <c r="B8" s="7" t="s">
        <v>36</v>
      </c>
      <c r="C8" s="9">
        <v>20000</v>
      </c>
    </row>
    <row r="9" spans="2:5" x14ac:dyDescent="0.25">
      <c r="B9" s="10" t="s">
        <v>38</v>
      </c>
      <c r="C9" s="11">
        <f>SUM(C2:C8)</f>
        <v>1234200</v>
      </c>
    </row>
    <row r="11" spans="2:5" x14ac:dyDescent="0.25">
      <c r="B11" s="10" t="s">
        <v>40</v>
      </c>
      <c r="C11" s="12">
        <f>C9/30</f>
        <v>41140</v>
      </c>
    </row>
    <row r="12" spans="2:5" x14ac:dyDescent="0.25">
      <c r="B12" s="10" t="s">
        <v>41</v>
      </c>
      <c r="C12" s="12">
        <f>C11/8</f>
        <v>5142.5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7DBA-A23D-40D5-AFF0-BC35C9537EDF}">
  <dimension ref="A1:CN31"/>
  <sheetViews>
    <sheetView zoomScale="75" zoomScaleNormal="75" workbookViewId="0">
      <selection activeCell="B37" sqref="B37"/>
    </sheetView>
  </sheetViews>
  <sheetFormatPr baseColWidth="10" defaultRowHeight="15" x14ac:dyDescent="0.25"/>
  <cols>
    <col min="1" max="1" width="7.5703125" customWidth="1"/>
    <col min="2" max="2" width="56.85546875" bestFit="1" customWidth="1"/>
    <col min="3" max="3" width="5.140625" bestFit="1" customWidth="1"/>
    <col min="4" max="4" width="9" customWidth="1"/>
    <col min="5" max="20" width="9.140625" customWidth="1"/>
    <col min="21" max="92" width="3.5703125" customWidth="1"/>
  </cols>
  <sheetData>
    <row r="1" spans="1:92" ht="18.75" x14ac:dyDescent="0.3">
      <c r="A1" s="43" t="s">
        <v>62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4"/>
    </row>
    <row r="2" spans="1:92" ht="18.75" x14ac:dyDescent="0.3">
      <c r="A2" s="16" t="s">
        <v>50</v>
      </c>
      <c r="B2" s="42" t="s">
        <v>61</v>
      </c>
      <c r="C2" s="42"/>
      <c r="D2" s="16">
        <v>1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16">
        <v>15</v>
      </c>
      <c r="R2" s="16">
        <v>16</v>
      </c>
      <c r="S2" s="16">
        <v>17</v>
      </c>
      <c r="T2" s="16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</row>
    <row r="3" spans="1:92" x14ac:dyDescent="0.25">
      <c r="A3" t="s">
        <v>68</v>
      </c>
      <c r="B3" s="16" t="s">
        <v>1</v>
      </c>
      <c r="C3" s="34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92" x14ac:dyDescent="0.25">
      <c r="A4" t="s">
        <v>63</v>
      </c>
      <c r="B4" s="1" t="s">
        <v>7</v>
      </c>
      <c r="C4" s="23">
        <v>2</v>
      </c>
      <c r="D4" s="1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92" x14ac:dyDescent="0.25">
      <c r="A5" t="s">
        <v>64</v>
      </c>
      <c r="B5" s="1" t="s">
        <v>8</v>
      </c>
      <c r="C5" s="23">
        <v>1</v>
      </c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92" x14ac:dyDescent="0.25">
      <c r="A6" t="s">
        <v>65</v>
      </c>
      <c r="B6" s="1" t="s">
        <v>9</v>
      </c>
      <c r="C6" s="23">
        <v>1</v>
      </c>
      <c r="D6" s="1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92" x14ac:dyDescent="0.25">
      <c r="A7" t="s">
        <v>66</v>
      </c>
      <c r="B7" s="1" t="s">
        <v>10</v>
      </c>
      <c r="C7" s="23">
        <v>5</v>
      </c>
      <c r="D7" s="1"/>
      <c r="E7" s="2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92" x14ac:dyDescent="0.25">
      <c r="A8" t="s">
        <v>67</v>
      </c>
      <c r="B8" s="1" t="s">
        <v>11</v>
      </c>
      <c r="C8" s="23">
        <v>1</v>
      </c>
      <c r="D8" s="1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92" x14ac:dyDescent="0.25">
      <c r="A9" t="s">
        <v>69</v>
      </c>
      <c r="B9" s="17" t="s">
        <v>2</v>
      </c>
      <c r="C9" s="2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92" x14ac:dyDescent="0.25">
      <c r="A10" t="s">
        <v>70</v>
      </c>
      <c r="B10" s="1" t="s">
        <v>15</v>
      </c>
      <c r="C10" s="23">
        <v>3</v>
      </c>
      <c r="D10" s="1"/>
      <c r="E10" s="2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92" x14ac:dyDescent="0.25">
      <c r="A11" t="s">
        <v>71</v>
      </c>
      <c r="B11" s="1" t="s">
        <v>16</v>
      </c>
      <c r="C11" s="23">
        <v>5</v>
      </c>
      <c r="D11" s="1"/>
      <c r="E11" s="2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92" x14ac:dyDescent="0.25">
      <c r="A12" t="s">
        <v>72</v>
      </c>
      <c r="B12" s="1" t="s">
        <v>17</v>
      </c>
      <c r="C12" s="23">
        <v>5</v>
      </c>
      <c r="D12" s="1"/>
      <c r="E12" s="1"/>
      <c r="F12" s="2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92" x14ac:dyDescent="0.25">
      <c r="A13" t="s">
        <v>73</v>
      </c>
      <c r="B13" s="1" t="s">
        <v>18</v>
      </c>
      <c r="C13" s="23">
        <v>9</v>
      </c>
      <c r="D13" s="1"/>
      <c r="E13" s="1"/>
      <c r="F13" s="1"/>
      <c r="G13" s="2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92" x14ac:dyDescent="0.25">
      <c r="A14" t="s">
        <v>74</v>
      </c>
      <c r="B14" s="17" t="s">
        <v>3</v>
      </c>
      <c r="C14" s="2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92" x14ac:dyDescent="0.25">
      <c r="A15" t="s">
        <v>75</v>
      </c>
      <c r="B15" s="1" t="s">
        <v>19</v>
      </c>
      <c r="C15" s="23">
        <v>5</v>
      </c>
      <c r="D15" s="1"/>
      <c r="E15" s="1"/>
      <c r="F15" s="1"/>
      <c r="G15" s="1"/>
      <c r="H15" s="2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92" x14ac:dyDescent="0.25">
      <c r="A16" t="s">
        <v>76</v>
      </c>
      <c r="B16" s="1" t="s">
        <v>53</v>
      </c>
      <c r="C16" s="23">
        <v>5</v>
      </c>
      <c r="D16" s="1"/>
      <c r="E16" s="1"/>
      <c r="F16" s="1"/>
      <c r="G16" s="1"/>
      <c r="H16" s="2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t="s">
        <v>77</v>
      </c>
      <c r="B17" s="1" t="s">
        <v>54</v>
      </c>
      <c r="C17" s="23">
        <v>5</v>
      </c>
      <c r="D17" s="1"/>
      <c r="E17" s="1"/>
      <c r="F17" s="1"/>
      <c r="G17" s="1"/>
      <c r="H17" s="1"/>
      <c r="I17" s="2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t="s">
        <v>78</v>
      </c>
      <c r="B18" s="1" t="s">
        <v>55</v>
      </c>
      <c r="C18" s="23">
        <v>5</v>
      </c>
      <c r="D18" s="1"/>
      <c r="E18" s="1"/>
      <c r="F18" s="1"/>
      <c r="G18" s="1"/>
      <c r="H18" s="1"/>
      <c r="I18" s="2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t="s">
        <v>79</v>
      </c>
      <c r="B19" s="1" t="s">
        <v>56</v>
      </c>
      <c r="C19" s="23">
        <v>5</v>
      </c>
      <c r="D19" s="1"/>
      <c r="E19" s="1"/>
      <c r="F19" s="1"/>
      <c r="G19" s="1"/>
      <c r="H19" s="1"/>
      <c r="I19" s="1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t="s">
        <v>80</v>
      </c>
      <c r="B20" s="1" t="s">
        <v>57</v>
      </c>
      <c r="C20" s="23">
        <v>5</v>
      </c>
      <c r="D20" s="1"/>
      <c r="E20" s="1"/>
      <c r="F20" s="1"/>
      <c r="G20" s="1"/>
      <c r="H20" s="1"/>
      <c r="I20" s="1"/>
      <c r="J20" s="1"/>
      <c r="K20" s="30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t="s">
        <v>81</v>
      </c>
      <c r="B21" s="1" t="s">
        <v>20</v>
      </c>
      <c r="C21" s="23">
        <v>3</v>
      </c>
      <c r="D21" s="1"/>
      <c r="E21" s="1"/>
      <c r="F21" s="1"/>
      <c r="G21" s="1"/>
      <c r="H21" s="1"/>
      <c r="I21" s="1"/>
      <c r="J21" s="1"/>
      <c r="K21" s="3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t="s">
        <v>82</v>
      </c>
      <c r="B22" s="17" t="s">
        <v>4</v>
      </c>
      <c r="C22" s="2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t="s">
        <v>83</v>
      </c>
      <c r="B23" s="1" t="s">
        <v>58</v>
      </c>
      <c r="C23" s="23">
        <v>3</v>
      </c>
      <c r="D23" s="1"/>
      <c r="E23" s="1"/>
      <c r="F23" s="1"/>
      <c r="G23" s="1"/>
      <c r="H23" s="1"/>
      <c r="I23" s="1"/>
      <c r="J23" s="1"/>
      <c r="K23" s="1"/>
      <c r="L23" s="32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t="s">
        <v>84</v>
      </c>
      <c r="B24" s="1" t="s">
        <v>52</v>
      </c>
      <c r="C24" s="23">
        <v>3</v>
      </c>
      <c r="D24" s="1"/>
      <c r="E24" s="1"/>
      <c r="F24" s="1"/>
      <c r="G24" s="1"/>
      <c r="H24" s="1"/>
      <c r="I24" s="1"/>
      <c r="J24" s="1"/>
      <c r="K24" s="1"/>
      <c r="L24" s="32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t="s">
        <v>85</v>
      </c>
      <c r="B25" s="1" t="s">
        <v>59</v>
      </c>
      <c r="C25" s="23">
        <v>3</v>
      </c>
      <c r="D25" s="1"/>
      <c r="E25" s="1"/>
      <c r="F25" s="1"/>
      <c r="G25" s="1"/>
      <c r="H25" s="1"/>
      <c r="I25" s="1"/>
      <c r="J25" s="1"/>
      <c r="K25" s="1"/>
      <c r="L25" s="1"/>
      <c r="M25" s="2"/>
      <c r="N25" s="1"/>
      <c r="O25" s="1"/>
      <c r="P25" s="1"/>
      <c r="Q25" s="1"/>
      <c r="R25" s="1"/>
      <c r="S25" s="1"/>
      <c r="T25" s="1"/>
    </row>
    <row r="26" spans="1:20" x14ac:dyDescent="0.25">
      <c r="A26" t="s">
        <v>86</v>
      </c>
      <c r="B26" s="1" t="s">
        <v>21</v>
      </c>
      <c r="C26" s="23">
        <v>3</v>
      </c>
      <c r="D26" s="1"/>
      <c r="E26" s="1"/>
      <c r="F26" s="1"/>
      <c r="G26" s="1"/>
      <c r="H26" s="1"/>
      <c r="I26" s="1"/>
      <c r="J26" s="1"/>
      <c r="K26" s="1"/>
      <c r="L26" s="1"/>
      <c r="M26" s="2"/>
      <c r="N26" s="1"/>
      <c r="O26" s="1"/>
      <c r="P26" s="1"/>
      <c r="Q26" s="1"/>
      <c r="R26" s="1"/>
      <c r="S26" s="1"/>
      <c r="T26" s="1"/>
    </row>
    <row r="27" spans="1:20" x14ac:dyDescent="0.25">
      <c r="A27" t="s">
        <v>87</v>
      </c>
      <c r="B27" s="1" t="s">
        <v>22</v>
      </c>
      <c r="C27" s="23">
        <v>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5"/>
      <c r="O27" s="1"/>
      <c r="P27" s="1"/>
      <c r="Q27" s="1"/>
      <c r="R27" s="1"/>
      <c r="S27" s="1"/>
      <c r="T27" s="1"/>
    </row>
    <row r="28" spans="1:20" x14ac:dyDescent="0.25">
      <c r="A28" t="s">
        <v>88</v>
      </c>
      <c r="B28" s="1" t="s">
        <v>23</v>
      </c>
      <c r="C28" s="23">
        <v>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8"/>
      <c r="P28" s="1"/>
      <c r="Q28" s="1"/>
      <c r="R28" s="1"/>
      <c r="S28" s="1"/>
      <c r="T28" s="1"/>
    </row>
    <row r="29" spans="1:20" x14ac:dyDescent="0.25">
      <c r="A29" t="s">
        <v>89</v>
      </c>
      <c r="B29" s="1" t="s">
        <v>24</v>
      </c>
      <c r="C29" s="23">
        <v>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7"/>
      <c r="Q29" s="1"/>
      <c r="R29" s="1"/>
      <c r="S29" s="1"/>
      <c r="T29" s="1"/>
    </row>
    <row r="30" spans="1:20" x14ac:dyDescent="0.25">
      <c r="A30" t="s">
        <v>90</v>
      </c>
      <c r="B30" s="1" t="s">
        <v>25</v>
      </c>
      <c r="C30" s="23">
        <v>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9"/>
      <c r="R30" s="1"/>
      <c r="S30" s="1"/>
      <c r="T30" s="1"/>
    </row>
    <row r="31" spans="1:20" x14ac:dyDescent="0.25">
      <c r="A31" t="s">
        <v>91</v>
      </c>
      <c r="B31" s="1" t="s">
        <v>26</v>
      </c>
      <c r="C31" s="23">
        <v>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33"/>
      <c r="S31" s="1"/>
      <c r="T31" s="1"/>
    </row>
  </sheetData>
  <mergeCells count="2">
    <mergeCell ref="B2:C2"/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3A21-3A88-41C3-9926-F5DA40940F61}">
  <dimension ref="A1"/>
  <sheetViews>
    <sheetView showGridLines="0" showRowColHeaders="0" topLeftCell="B1" zoomScale="91" zoomScaleNormal="91" workbookViewId="0">
      <selection activeCell="F37" sqref="F3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EDT</vt:lpstr>
      <vt:lpstr>Calculo de costo </vt:lpstr>
      <vt:lpstr>Carta gantt </vt:lpstr>
      <vt:lpstr>Formato EDT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Gabriel M</cp:lastModifiedBy>
  <dcterms:created xsi:type="dcterms:W3CDTF">2018-01-25T19:02:19Z</dcterms:created>
  <dcterms:modified xsi:type="dcterms:W3CDTF">2025-03-25T17:33:41Z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2024-08-22T14:19:05Z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4ad31b23-38de-4933-90c6-ec1d18d1ac6d</vt:lpwstr>
  </property>
  <property fmtid="{D5CDD505-2E9C-101B-9397-08002B2CF9AE}" pid="8" name="MSIP_Label_455b24b8-e69b-4583-bfd0-d64b5cee0119_ContentBits">
    <vt:lpwstr>0</vt:lpwstr>
  </property>
</Properties>
</file>